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d80f57f3791af1bf/Desktop/"/>
    </mc:Choice>
  </mc:AlternateContent>
  <xr:revisionPtr revIDLastSave="0" documentId="8_{B76EBA7E-D17F-4D6D-A8B1-166C317A71B9}" xr6:coauthVersionLast="36" xr6:coauthVersionMax="36" xr10:uidLastSave="{00000000-0000-0000-0000-000000000000}"/>
  <bookViews>
    <workbookView xWindow="0" yWindow="0" windowWidth="25005" windowHeight="11865" activeTab="1" xr2:uid="{00000000-000D-0000-FFFF-FFFF00000000}"/>
  </bookViews>
  <sheets>
    <sheet name="all_results" sheetId="1" r:id="rId1"/>
    <sheet name="lowest_energy" sheetId="2" r:id="rId2"/>
  </sheets>
  <calcPr calcId="191029"/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" i="2"/>
  <c r="P23" i="2"/>
  <c r="P18" i="2"/>
  <c r="P19" i="2"/>
  <c r="P20" i="2"/>
  <c r="P21" i="2"/>
  <c r="P22" i="2"/>
  <c r="P16" i="2"/>
  <c r="P17" i="2"/>
  <c r="P12" i="2"/>
  <c r="P13" i="2"/>
  <c r="P14" i="2"/>
  <c r="P15" i="2"/>
  <c r="P3" i="2"/>
  <c r="P4" i="2"/>
  <c r="P5" i="2"/>
  <c r="P6" i="2"/>
  <c r="P7" i="2"/>
  <c r="P8" i="2"/>
  <c r="P9" i="2"/>
  <c r="P10" i="2"/>
  <c r="P11" i="2"/>
  <c r="P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2" i="2"/>
</calcChain>
</file>

<file path=xl/sharedStrings.xml><?xml version="1.0" encoding="utf-8"?>
<sst xmlns="http://schemas.openxmlformats.org/spreadsheetml/2006/main" count="577" uniqueCount="175">
  <si>
    <t>ligand</t>
  </si>
  <si>
    <t>state</t>
  </si>
  <si>
    <t>reaction coordinate</t>
  </si>
  <si>
    <t>path</t>
  </si>
  <si>
    <t>e0</t>
  </si>
  <si>
    <t>carboxyl</t>
  </si>
  <si>
    <t>S000</t>
  </si>
  <si>
    <t>./S000/carboxyl/O_site01</t>
  </si>
  <si>
    <t>./S000/carboxyl/OO_chelate01</t>
  </si>
  <si>
    <t>./S000/carboxyl/O_site02</t>
  </si>
  <si>
    <t>S001</t>
  </si>
  <si>
    <t>./S001/carboxyl/O_site02</t>
  </si>
  <si>
    <t>./S001/carboxyl/OO_chelate01</t>
  </si>
  <si>
    <t>./S001/carboxyl/O_site01</t>
  </si>
  <si>
    <t>S100</t>
  </si>
  <si>
    <t>./S100/carboxyl/O_site01</t>
  </si>
  <si>
    <t>./S100/carboxyl/O_site02</t>
  </si>
  <si>
    <t>./S100/carboxyl/OO_chelate01</t>
  </si>
  <si>
    <t>S101</t>
  </si>
  <si>
    <t>./S101/carboxyl/O_site02</t>
  </si>
  <si>
    <t>./S101/carboxyl/O_site01</t>
  </si>
  <si>
    <t>./S101/carboxyl/OO_chelate01</t>
  </si>
  <si>
    <t>S110</t>
  </si>
  <si>
    <t>./S110/carboxyl/O_site02</t>
  </si>
  <si>
    <t>./S110/carboxyl/O_site01</t>
  </si>
  <si>
    <t>./S110/carboxyl/OO_chelate01</t>
  </si>
  <si>
    <t>S200</t>
  </si>
  <si>
    <t>./S200/carboxyl/O_site02</t>
  </si>
  <si>
    <t>./S200/carboxyl/O_site01</t>
  </si>
  <si>
    <t>./S200/carboxyl/OO_chelate01</t>
  </si>
  <si>
    <t>S102</t>
  </si>
  <si>
    <t>./S102/carboxyl/O_site02</t>
  </si>
  <si>
    <t>./S102/carboxyl/OO_chelate01</t>
  </si>
  <si>
    <t>./S102/carboxyl/O_site01</t>
  </si>
  <si>
    <t>S111</t>
  </si>
  <si>
    <t>./S111/carboxyl/O_site01</t>
  </si>
  <si>
    <t>./S111/carboxyl/OO_chelate01</t>
  </si>
  <si>
    <t>./S111/carboxyl/O_site02</t>
  </si>
  <si>
    <t>S201</t>
  </si>
  <si>
    <t>./S201/carboxyl/O_site02</t>
  </si>
  <si>
    <t>./S201/carboxyl/OO_chelate01</t>
  </si>
  <si>
    <t>./S201/carboxyl/O_site01</t>
  </si>
  <si>
    <t>S210</t>
  </si>
  <si>
    <t>./S210/carboxyl/O_site01</t>
  </si>
  <si>
    <t>./S210/carboxyl/OO_chelate01</t>
  </si>
  <si>
    <t>./S210/carboxyl/O_site02</t>
  </si>
  <si>
    <t>S112</t>
  </si>
  <si>
    <t>./S112/carboxyl/OO_chelate01</t>
  </si>
  <si>
    <t>./S112/carboxyl/O_site02</t>
  </si>
  <si>
    <t>./S112/carboxyl/O_site01</t>
  </si>
  <si>
    <t>S202</t>
  </si>
  <si>
    <t>./S202/carboxyl/O_site01</t>
  </si>
  <si>
    <t>./S202/carboxyl/OO_chelate01</t>
  </si>
  <si>
    <t>./S202/carboxyl/O_site02</t>
  </si>
  <si>
    <t>S211</t>
  </si>
  <si>
    <t>./S211/carboxyl/O_site02</t>
  </si>
  <si>
    <t>./S211/carboxyl/O_site01</t>
  </si>
  <si>
    <t>./S211/carboxyl/OO_chelate01</t>
  </si>
  <si>
    <t>S220</t>
  </si>
  <si>
    <t>./S220/carboxyl/O_site02</t>
  </si>
  <si>
    <t>./S220/carboxyl/O_site01</t>
  </si>
  <si>
    <t>./S220/carboxyl/OO_chelate01</t>
  </si>
  <si>
    <t>S212</t>
  </si>
  <si>
    <t>./S212/carboxyl/O_site01</t>
  </si>
  <si>
    <t>./S212/carboxyl/O_site02</t>
  </si>
  <si>
    <t>./S212/carboxyl/OO_chelate01</t>
  </si>
  <si>
    <t>S221</t>
  </si>
  <si>
    <t>./S221/carboxyl/O_site01</t>
  </si>
  <si>
    <t>./S221/carboxyl/O_site02</t>
  </si>
  <si>
    <t>./S221/carboxyl/OO_chelate01</t>
  </si>
  <si>
    <t>S311</t>
  </si>
  <si>
    <t>./S311/carboxyl/OO_chelate01</t>
  </si>
  <si>
    <t>./S311/carboxyl/O_site01</t>
  </si>
  <si>
    <t>./S311/carboxyl/O_site02</t>
  </si>
  <si>
    <t>S320</t>
  </si>
  <si>
    <t>./S320/carboxyl/O_site02</t>
  </si>
  <si>
    <t>./S320/carboxyl/O_site01</t>
  </si>
  <si>
    <t>./S320/carboxyl/OO_chelate01</t>
  </si>
  <si>
    <t>S222</t>
  </si>
  <si>
    <t>./S222/carboxyl/O_site02</t>
  </si>
  <si>
    <t>./S222/carboxyl/OO_chelate01</t>
  </si>
  <si>
    <t>./S222/carboxyl/O_site01</t>
  </si>
  <si>
    <t>S312</t>
  </si>
  <si>
    <t>./S312/carboxyl/O_site01</t>
  </si>
  <si>
    <t>./S312/carboxyl/O_site02</t>
  </si>
  <si>
    <t>./S312/carboxyl/OO_chelate01</t>
  </si>
  <si>
    <t>S321</t>
  </si>
  <si>
    <t>./S321/carboxyl/O_site02</t>
  </si>
  <si>
    <t>./S321/carboxyl/OO_chelate01</t>
  </si>
  <si>
    <t>./S321/carboxyl/O_site01</t>
  </si>
  <si>
    <t>S322</t>
  </si>
  <si>
    <t>./S322/carboxyl/O_site02</t>
  </si>
  <si>
    <t>./S322/carboxyl/O_site01</t>
  </si>
  <si>
    <t>./S322/carboxyl/OO_chelate01</t>
  </si>
  <si>
    <t>amine</t>
  </si>
  <si>
    <t>./S000/amine/N_site03</t>
  </si>
  <si>
    <t>./S000/amine/N_site01</t>
  </si>
  <si>
    <t>./S000/amine/N_site02</t>
  </si>
  <si>
    <t>./S001/amine/N_site01</t>
  </si>
  <si>
    <t>./S001/amine/N_site02</t>
  </si>
  <si>
    <t>./S001/amine/N_site03</t>
  </si>
  <si>
    <t>./S100/amine/N_site01</t>
  </si>
  <si>
    <t>./S100/amine/N_site02</t>
  </si>
  <si>
    <t>./S100/amine/N_site03</t>
  </si>
  <si>
    <t>./S101/amine/N_site02</t>
  </si>
  <si>
    <t>./S101/amine/N_site01</t>
  </si>
  <si>
    <t>./S101/amine/N_site03</t>
  </si>
  <si>
    <t>./S110/amine/N_site01</t>
  </si>
  <si>
    <t>./S110/amine/N_site03</t>
  </si>
  <si>
    <t>./S110/amine/N_site02</t>
  </si>
  <si>
    <t>./S200/amine/N_site01</t>
  </si>
  <si>
    <t>./S200/amine/N_site02</t>
  </si>
  <si>
    <t>./S200/amine/N_site03</t>
  </si>
  <si>
    <t>./S102/amine/N_site03</t>
  </si>
  <si>
    <t>./S102/amine/N_site02</t>
  </si>
  <si>
    <t>./S102/amine/N_site01</t>
  </si>
  <si>
    <t>./S111/amine/N_site03</t>
  </si>
  <si>
    <t>./S111/amine/N_site01</t>
  </si>
  <si>
    <t>./S111/amine/N_site02</t>
  </si>
  <si>
    <t>./S201/amine/N_site03</t>
  </si>
  <si>
    <t>./S201/amine/N_site01</t>
  </si>
  <si>
    <t>./S201/amine/N_site02</t>
  </si>
  <si>
    <t>./S210/amine/N_site01</t>
  </si>
  <si>
    <t>./S210/amine/N_site02</t>
  </si>
  <si>
    <t>./S210/amine/N_site03</t>
  </si>
  <si>
    <t>./S112/amine/N_site01</t>
  </si>
  <si>
    <t>./S112/amine/N_site03</t>
  </si>
  <si>
    <t>./S112/amine/N_site02</t>
  </si>
  <si>
    <t>./S202/amine/N_site03</t>
  </si>
  <si>
    <t>./S202/amine/N_site02</t>
  </si>
  <si>
    <t>./S202/amine/N_site01</t>
  </si>
  <si>
    <t>./S211/amine/N_site02</t>
  </si>
  <si>
    <t>./S211/amine/N_site01</t>
  </si>
  <si>
    <t>./S211/amine/N_site03</t>
  </si>
  <si>
    <t>./S220/amine/N_site03</t>
  </si>
  <si>
    <t>./S220/amine/N_site01</t>
  </si>
  <si>
    <t>./S220/amine/N_site02</t>
  </si>
  <si>
    <t>./S212/amine/N_site03</t>
  </si>
  <si>
    <t>./S212/amine/N_site02</t>
  </si>
  <si>
    <t>./S212/amine/N_site01</t>
  </si>
  <si>
    <t>./S221/amine/N_site01</t>
  </si>
  <si>
    <t>./S221/amine/N_site02</t>
  </si>
  <si>
    <t>./S221/amine/N_site03</t>
  </si>
  <si>
    <t>./S311/amine/N_site03</t>
  </si>
  <si>
    <t>./S311/amine/N_site02</t>
  </si>
  <si>
    <t>./S311/amine/N_site01</t>
  </si>
  <si>
    <t>./S320/amine/N_site01</t>
  </si>
  <si>
    <t>./S320/amine/N_site02</t>
  </si>
  <si>
    <t>./S320/amine/N_site03</t>
  </si>
  <si>
    <t>./S222/amine/N_site01</t>
  </si>
  <si>
    <t>./S222/amine/N_site02</t>
  </si>
  <si>
    <t>./S222/amine/N_site03</t>
  </si>
  <si>
    <t>./S312/amine/N_site03</t>
  </si>
  <si>
    <t>./S312/amine/N_site01</t>
  </si>
  <si>
    <t>./S312/amine/N_site02</t>
  </si>
  <si>
    <t>./S321/amine/N_site02</t>
  </si>
  <si>
    <t>./S321/amine/N_site01</t>
  </si>
  <si>
    <t>./S321/amine/N_site03</t>
  </si>
  <si>
    <t>./S322/amine/N_site01</t>
  </si>
  <si>
    <t>./S322/amine/N_site02</t>
  </si>
  <si>
    <t>./S322/amine/N_site03</t>
  </si>
  <si>
    <t>expression</t>
    <phoneticPr fontId="3" type="noConversion"/>
  </si>
  <si>
    <t>pure</t>
    <phoneticPr fontId="3" type="noConversion"/>
  </si>
  <si>
    <t>e0</t>
    <phoneticPr fontId="3" type="noConversion"/>
  </si>
  <si>
    <t>state</t>
    <phoneticPr fontId="3" type="noConversion"/>
  </si>
  <si>
    <t>relative E</t>
    <phoneticPr fontId="3" type="noConversion"/>
  </si>
  <si>
    <t>carboxyl</t>
    <phoneticPr fontId="3" type="noConversion"/>
  </si>
  <si>
    <t>amine</t>
    <phoneticPr fontId="3" type="noConversion"/>
  </si>
  <si>
    <t>gas</t>
    <phoneticPr fontId="3" type="noConversion"/>
  </si>
  <si>
    <t>C5-NH2</t>
  </si>
  <si>
    <t>C5-OO</t>
  </si>
  <si>
    <t>*+gas=*gas</t>
    <phoneticPr fontId="3" type="noConversion"/>
  </si>
  <si>
    <t>깁스 보정 필요</t>
    <phoneticPr fontId="3" type="noConversion"/>
  </si>
  <si>
    <t>chempo</t>
    <phoneticPr fontId="3" type="noConversion"/>
  </si>
  <si>
    <t>제외 : S300,301,310,302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</si>
</sst>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_ "/>
    <numFmt numFmtId="177" formatCode="0_ "/>
  </numFmts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176" fontId="2" fillId="0" borderId="3" xfId="0" applyNumberFormat="1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176" fontId="2" fillId="0" borderId="4" xfId="0" applyNumberFormat="1" applyFont="1" applyFill="1" applyBorder="1" applyAlignment="1">
      <alignment vertical="center"/>
    </xf>
    <xf numFmtId="176" fontId="2" fillId="2" borderId="0" xfId="0" applyNumberFormat="1" applyFont="1" applyFill="1" applyBorder="1" applyAlignment="1">
      <alignment vertical="center"/>
    </xf>
    <xf numFmtId="177" fontId="2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177" fontId="2" fillId="0" borderId="4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top"/>
    </xf>
    <xf numFmtId="0" fontId="0" fillId="0" borderId="0" xfId="0" applyAlignment="1"/>
    <xf numFmtId="0" fontId="2" fillId="0" borderId="0" xfId="0" applyFont="1" applyFill="1" applyBorder="1" applyAlignment="1"/>
    <xf numFmtId="0" fontId="4" fillId="0" borderId="0" xfId="0" applyFont="1" applyFill="1" applyBorder="1" applyAlignmen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lowest_energy!$I$1</c:f>
              <c:strCache>
                <c:ptCount val="1"/>
                <c:pt idx="0">
                  <c:v>pure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lowest_energy!$K$2:$K$23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 formatCode="0_ ">
                  <c:v>2</c:v>
                </c:pt>
                <c:pt idx="4">
                  <c:v>2</c:v>
                </c:pt>
                <c:pt idx="5">
                  <c:v>2</c:v>
                </c:pt>
                <c:pt idx="6" formatCode="0_ ">
                  <c:v>3</c:v>
                </c:pt>
                <c:pt idx="7" formatCode="0_ ">
                  <c:v>3</c:v>
                </c:pt>
                <c:pt idx="8" formatCode="0_ ">
                  <c:v>3</c:v>
                </c:pt>
                <c:pt idx="9" formatCode="0_ ">
                  <c:v>3</c:v>
                </c:pt>
                <c:pt idx="10" formatCode="0_ ">
                  <c:v>4</c:v>
                </c:pt>
                <c:pt idx="11" formatCode="0_ ">
                  <c:v>4</c:v>
                </c:pt>
                <c:pt idx="12" formatCode="0_ ">
                  <c:v>4</c:v>
                </c:pt>
                <c:pt idx="13" formatCode="0_ ">
                  <c:v>4</c:v>
                </c:pt>
                <c:pt idx="14" formatCode="0_ ">
                  <c:v>5</c:v>
                </c:pt>
                <c:pt idx="15" formatCode="0_ ">
                  <c:v>5</c:v>
                </c:pt>
                <c:pt idx="16" formatCode="0_ ">
                  <c:v>5</c:v>
                </c:pt>
                <c:pt idx="17" formatCode="0_ ">
                  <c:v>5</c:v>
                </c:pt>
                <c:pt idx="18" formatCode="0_ ">
                  <c:v>6</c:v>
                </c:pt>
                <c:pt idx="19" formatCode="0_ ">
                  <c:v>6</c:v>
                </c:pt>
                <c:pt idx="20" formatCode="0_ ">
                  <c:v>6</c:v>
                </c:pt>
                <c:pt idx="21" formatCode="0_ ">
                  <c:v>7</c:v>
                </c:pt>
              </c:numCache>
            </c:numRef>
          </c:xVal>
          <c:yVal>
            <c:numRef>
              <c:f>lowest_energy!$N$2:$N$23</c:f>
              <c:numCache>
                <c:formatCode>0.00000_ </c:formatCode>
                <c:ptCount val="22"/>
                <c:pt idx="0" formatCode="General">
                  <c:v>0</c:v>
                </c:pt>
                <c:pt idx="1">
                  <c:v>0.83277821875000058</c:v>
                </c:pt>
                <c:pt idx="2">
                  <c:v>0.22253150000000943</c:v>
                </c:pt>
                <c:pt idx="3" formatCode="General">
                  <c:v>-0.15013028125000005</c:v>
                </c:pt>
                <c:pt idx="4" formatCode="General">
                  <c:v>0.59365525000001362</c:v>
                </c:pt>
                <c:pt idx="5">
                  <c:v>-0.21095699999996498</c:v>
                </c:pt>
                <c:pt idx="6" formatCode="General">
                  <c:v>-9.6112062499976503E-2</c:v>
                </c:pt>
                <c:pt idx="7" formatCode="General">
                  <c:v>0.55031346874999976</c:v>
                </c:pt>
                <c:pt idx="8" formatCode="General">
                  <c:v>-0.87330878125001021</c:v>
                </c:pt>
                <c:pt idx="9" formatCode="General">
                  <c:v>0.40310675000001339</c:v>
                </c:pt>
                <c:pt idx="10" formatCode="General">
                  <c:v>1.397621687500008</c:v>
                </c:pt>
                <c:pt idx="11" formatCode="General">
                  <c:v>-1.5535905624999771</c:v>
                </c:pt>
                <c:pt idx="12" formatCode="General">
                  <c:v>-0.38080503125001997</c:v>
                </c:pt>
                <c:pt idx="13" formatCode="General">
                  <c:v>0.94404049999999984</c:v>
                </c:pt>
                <c:pt idx="14" formatCode="General">
                  <c:v>0.36924318749998264</c:v>
                </c:pt>
                <c:pt idx="15" formatCode="General">
                  <c:v>-0.14500128124999634</c:v>
                </c:pt>
                <c:pt idx="16" formatCode="General">
                  <c:v>-0.98653353124998944</c:v>
                </c:pt>
                <c:pt idx="17" formatCode="General">
                  <c:v>0.70128199999999907</c:v>
                </c:pt>
                <c:pt idx="18" formatCode="General">
                  <c:v>2.7903969375000059</c:v>
                </c:pt>
                <c:pt idx="19" formatCode="General">
                  <c:v>-1.5554353125000091</c:v>
                </c:pt>
                <c:pt idx="20" formatCode="General">
                  <c:v>-0.74827978125001238</c:v>
                </c:pt>
                <c:pt idx="21" formatCode="General">
                  <c:v>-1.9117415624999765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E4-4716-A13E-4D634EAF9751}"/>
            </c:ext>
          </c:extLst>
        </c:ser>
        <c:ser>
          <c:idx val="1"/>
          <c:order val="1"/>
          <c:tx>
            <c:strRef>
              <c:f>lowest_energy!$O$1</c:f>
              <c:strCache>
                <c:ptCount val="1"/>
                <c:pt idx="0">
                  <c:v>carboxyl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lowest_energy!$F$2:$F$23</c:f>
              <c:numCache>
                <c:formatCode>General</c:formatCode>
                <c:ptCount val="22"/>
                <c:pt idx="0">
                  <c:v>0.5</c:v>
                </c:pt>
                <c:pt idx="1">
                  <c:v>1.5</c:v>
                </c:pt>
                <c:pt idx="2">
                  <c:v>1.5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4.5</c:v>
                </c:pt>
                <c:pt idx="11">
                  <c:v>4.5</c:v>
                </c:pt>
                <c:pt idx="12">
                  <c:v>4.5</c:v>
                </c:pt>
                <c:pt idx="13">
                  <c:v>4.5</c:v>
                </c:pt>
                <c:pt idx="14">
                  <c:v>5.5</c:v>
                </c:pt>
                <c:pt idx="15">
                  <c:v>5.5</c:v>
                </c:pt>
                <c:pt idx="16">
                  <c:v>5.5</c:v>
                </c:pt>
                <c:pt idx="17">
                  <c:v>5.5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7.5</c:v>
                </c:pt>
              </c:numCache>
            </c:numRef>
          </c:xVal>
          <c:yVal>
            <c:numRef>
              <c:f>lowest_energy!$P$2:$P$23</c:f>
              <c:numCache>
                <c:formatCode>General</c:formatCode>
                <c:ptCount val="22"/>
                <c:pt idx="0">
                  <c:v>-2.0154039999999611</c:v>
                </c:pt>
                <c:pt idx="1">
                  <c:v>-1.7671457812499867</c:v>
                </c:pt>
                <c:pt idx="2">
                  <c:v>-1.8570624999999765</c:v>
                </c:pt>
                <c:pt idx="3">
                  <c:v>-2.5667042812499972</c:v>
                </c:pt>
                <c:pt idx="4">
                  <c:v>-2.0135187499999727</c:v>
                </c:pt>
                <c:pt idx="5">
                  <c:v>-2.9335009999999926</c:v>
                </c:pt>
                <c:pt idx="6">
                  <c:v>-1.735826062499946</c:v>
                </c:pt>
                <c:pt idx="7">
                  <c:v>-1.8414305312499888</c:v>
                </c:pt>
                <c:pt idx="8">
                  <c:v>-3.2987527812499806</c:v>
                </c:pt>
                <c:pt idx="9">
                  <c:v>-2.8718972499999538</c:v>
                </c:pt>
                <c:pt idx="10">
                  <c:v>-0.81563231249996981</c:v>
                </c:pt>
                <c:pt idx="11">
                  <c:v>-3.4896445624999899</c:v>
                </c:pt>
                <c:pt idx="12">
                  <c:v>-2.4989290312499861</c:v>
                </c:pt>
                <c:pt idx="13">
                  <c:v>-2.3307934999999986</c:v>
                </c:pt>
                <c:pt idx="14">
                  <c:v>-1.9526808124999846</c:v>
                </c:pt>
                <c:pt idx="15">
                  <c:v>-2.9426652812499938</c:v>
                </c:pt>
                <c:pt idx="16">
                  <c:v>-3.9104175312499763</c:v>
                </c:pt>
                <c:pt idx="17">
                  <c:v>-2.9841819999999686</c:v>
                </c:pt>
                <c:pt idx="18">
                  <c:v>0.54043293750000032</c:v>
                </c:pt>
                <c:pt idx="19">
                  <c:v>-4.2187393124999915</c:v>
                </c:pt>
                <c:pt idx="20">
                  <c:v>-4.2567737812499971</c:v>
                </c:pt>
                <c:pt idx="21" formatCode="0.00000_ ">
                  <c:v>-4.0792055624999719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E4-4716-A13E-4D634EAF9751}"/>
            </c:ext>
          </c:extLst>
        </c:ser>
        <c:ser>
          <c:idx val="2"/>
          <c:order val="2"/>
          <c:tx>
            <c:strRef>
              <c:f>lowest_energy!$Q$1</c:f>
              <c:strCache>
                <c:ptCount val="1"/>
                <c:pt idx="0">
                  <c:v>amine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lowest_energy!$F$2:$F$23</c:f>
              <c:numCache>
                <c:formatCode>General</c:formatCode>
                <c:ptCount val="22"/>
                <c:pt idx="0">
                  <c:v>0.5</c:v>
                </c:pt>
                <c:pt idx="1">
                  <c:v>1.5</c:v>
                </c:pt>
                <c:pt idx="2">
                  <c:v>1.5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4.5</c:v>
                </c:pt>
                <c:pt idx="11">
                  <c:v>4.5</c:v>
                </c:pt>
                <c:pt idx="12">
                  <c:v>4.5</c:v>
                </c:pt>
                <c:pt idx="13">
                  <c:v>4.5</c:v>
                </c:pt>
                <c:pt idx="14">
                  <c:v>5.5</c:v>
                </c:pt>
                <c:pt idx="15">
                  <c:v>5.5</c:v>
                </c:pt>
                <c:pt idx="16">
                  <c:v>5.5</c:v>
                </c:pt>
                <c:pt idx="17">
                  <c:v>5.5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7.5</c:v>
                </c:pt>
              </c:numCache>
            </c:numRef>
          </c:xVal>
          <c:yVal>
            <c:numRef>
              <c:f>lowest_energy!$R$2:$R$23</c:f>
              <c:numCache>
                <c:formatCode>General</c:formatCode>
                <c:ptCount val="22"/>
                <c:pt idx="0">
                  <c:v>-1.0506999999999778</c:v>
                </c:pt>
                <c:pt idx="1">
                  <c:v>-0.3492117812499842</c:v>
                </c:pt>
                <c:pt idx="2">
                  <c:v>-0.58068850000000083</c:v>
                </c:pt>
                <c:pt idx="3">
                  <c:v>-1.4351402812499714</c:v>
                </c:pt>
                <c:pt idx="4">
                  <c:v>0.27903525000002283</c:v>
                </c:pt>
                <c:pt idx="5">
                  <c:v>-0.81199699999997677</c:v>
                </c:pt>
                <c:pt idx="6">
                  <c:v>-0.98158206249997448</c:v>
                </c:pt>
                <c:pt idx="7">
                  <c:v>-0.45244653124999523</c:v>
                </c:pt>
                <c:pt idx="8">
                  <c:v>-1.5246387812499833</c:v>
                </c:pt>
                <c:pt idx="9">
                  <c:v>-0.22463325000000367</c:v>
                </c:pt>
                <c:pt idx="10">
                  <c:v>0.18391168749998776</c:v>
                </c:pt>
                <c:pt idx="11">
                  <c:v>-2.5484405624999624</c:v>
                </c:pt>
                <c:pt idx="12">
                  <c:v>-0.87865503124999123</c:v>
                </c:pt>
                <c:pt idx="13">
                  <c:v>-0.16778949999999782</c:v>
                </c:pt>
                <c:pt idx="14">
                  <c:v>-0.99528681249996254</c:v>
                </c:pt>
                <c:pt idx="15">
                  <c:v>-0.68849128125001613</c:v>
                </c:pt>
                <c:pt idx="16">
                  <c:v>-1.4593235312500212</c:v>
                </c:pt>
                <c:pt idx="17">
                  <c:v>1.5132000000001256E-2</c:v>
                </c:pt>
                <c:pt idx="18">
                  <c:v>1.5146269375000116</c:v>
                </c:pt>
                <c:pt idx="19">
                  <c:v>-2.5741753124999889</c:v>
                </c:pt>
                <c:pt idx="20">
                  <c:v>-1.3343497812500189</c:v>
                </c:pt>
                <c:pt idx="21">
                  <c:v>-2.7391815625000007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E4-4716-A13E-4D634EAF9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501071"/>
        <c:axId val="1800347471"/>
      </c:scatterChart>
      <c:valAx>
        <c:axId val="172050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00347471"/>
        <c:crosses val="autoZero"/>
        <c:crossBetween val="midCat"/>
      </c:valAx>
      <c:valAx>
        <c:axId val="180034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20501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261937</xdr:colOff>
      <xdr:row>7</xdr:row>
      <xdr:rowOff>38100</xdr:rowOff>
    </xdr:from>
    <xdr:to>
      <xdr:col>25</xdr:col>
      <xdr:colOff>33337</xdr:colOff>
      <xdr:row>20</xdr:row>
      <xdr:rowOff>57150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4B91D6D-8D45-46C0-A840-CF9F4D7EB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opLeftCell="A106" workbookViewId="0"/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0</v>
      </c>
      <c r="D2" t="s">
        <v>7</v>
      </c>
      <c r="E2">
        <v>-318.06864999999999</v>
      </c>
    </row>
    <row r="3" spans="1:5" x14ac:dyDescent="0.3">
      <c r="A3" t="s">
        <v>5</v>
      </c>
      <c r="B3" t="s">
        <v>6</v>
      </c>
      <c r="C3">
        <v>0</v>
      </c>
      <c r="D3" t="s">
        <v>8</v>
      </c>
      <c r="E3">
        <v>-317.89091000000002</v>
      </c>
    </row>
    <row r="4" spans="1:5" x14ac:dyDescent="0.3">
      <c r="A4" t="s">
        <v>5</v>
      </c>
      <c r="B4" t="s">
        <v>6</v>
      </c>
      <c r="C4">
        <v>0</v>
      </c>
      <c r="D4" t="s">
        <v>9</v>
      </c>
      <c r="E4">
        <v>-317.58616999999998</v>
      </c>
    </row>
    <row r="5" spans="1:5" x14ac:dyDescent="0.3">
      <c r="A5" t="s">
        <v>5</v>
      </c>
      <c r="B5" t="s">
        <v>10</v>
      </c>
      <c r="C5">
        <v>1</v>
      </c>
      <c r="D5" t="s">
        <v>11</v>
      </c>
      <c r="E5">
        <v>-312.84998000000002</v>
      </c>
    </row>
    <row r="6" spans="1:5" x14ac:dyDescent="0.3">
      <c r="A6" t="s">
        <v>5</v>
      </c>
      <c r="B6" t="s">
        <v>10</v>
      </c>
      <c r="C6">
        <v>1</v>
      </c>
      <c r="D6" t="s">
        <v>12</v>
      </c>
      <c r="E6">
        <v>-312.55826000000002</v>
      </c>
    </row>
    <row r="7" spans="1:5" x14ac:dyDescent="0.3">
      <c r="A7" t="s">
        <v>5</v>
      </c>
      <c r="B7" t="s">
        <v>10</v>
      </c>
      <c r="C7">
        <v>1</v>
      </c>
      <c r="D7" t="s">
        <v>13</v>
      </c>
      <c r="E7">
        <v>-311.46983</v>
      </c>
    </row>
    <row r="8" spans="1:5" x14ac:dyDescent="0.3">
      <c r="A8" t="s">
        <v>5</v>
      </c>
      <c r="B8" t="s">
        <v>14</v>
      </c>
      <c r="C8">
        <v>1</v>
      </c>
      <c r="D8" t="s">
        <v>15</v>
      </c>
      <c r="E8">
        <v>-348.31592000000001</v>
      </c>
    </row>
    <row r="9" spans="1:5" x14ac:dyDescent="0.3">
      <c r="A9" t="s">
        <v>5</v>
      </c>
      <c r="B9" t="s">
        <v>14</v>
      </c>
      <c r="C9">
        <v>1</v>
      </c>
      <c r="D9" t="s">
        <v>16</v>
      </c>
      <c r="E9">
        <v>-348.05527999999998</v>
      </c>
    </row>
    <row r="10" spans="1:5" x14ac:dyDescent="0.3">
      <c r="A10" t="s">
        <v>5</v>
      </c>
      <c r="B10" t="s">
        <v>14</v>
      </c>
      <c r="C10">
        <v>1</v>
      </c>
      <c r="D10" t="s">
        <v>17</v>
      </c>
      <c r="E10">
        <v>-347.57920000000001</v>
      </c>
    </row>
    <row r="11" spans="1:5" x14ac:dyDescent="0.3">
      <c r="A11" t="s">
        <v>5</v>
      </c>
      <c r="B11" t="s">
        <v>18</v>
      </c>
      <c r="C11">
        <v>2</v>
      </c>
      <c r="D11" t="s">
        <v>19</v>
      </c>
      <c r="E11">
        <v>-344.05515000000003</v>
      </c>
    </row>
    <row r="12" spans="1:5" x14ac:dyDescent="0.3">
      <c r="A12" t="s">
        <v>5</v>
      </c>
      <c r="B12" t="s">
        <v>18</v>
      </c>
      <c r="C12">
        <v>2</v>
      </c>
      <c r="D12" t="s">
        <v>20</v>
      </c>
      <c r="E12">
        <v>-343.88587999999999</v>
      </c>
    </row>
    <row r="13" spans="1:5" x14ac:dyDescent="0.3">
      <c r="A13" t="s">
        <v>5</v>
      </c>
      <c r="B13" t="s">
        <v>18</v>
      </c>
      <c r="C13">
        <v>2</v>
      </c>
      <c r="D13" t="s">
        <v>21</v>
      </c>
      <c r="E13">
        <v>-343.7176</v>
      </c>
    </row>
    <row r="14" spans="1:5" x14ac:dyDescent="0.3">
      <c r="A14" t="s">
        <v>5</v>
      </c>
      <c r="B14" t="s">
        <v>22</v>
      </c>
      <c r="C14">
        <v>2</v>
      </c>
      <c r="D14" t="s">
        <v>23</v>
      </c>
      <c r="E14">
        <v>-333.59134</v>
      </c>
    </row>
    <row r="15" spans="1:5" x14ac:dyDescent="0.3">
      <c r="A15" t="s">
        <v>5</v>
      </c>
      <c r="B15" t="s">
        <v>22</v>
      </c>
      <c r="C15">
        <v>2</v>
      </c>
      <c r="D15" t="s">
        <v>24</v>
      </c>
      <c r="E15">
        <v>-333.32575000000003</v>
      </c>
    </row>
    <row r="16" spans="1:5" x14ac:dyDescent="0.3">
      <c r="A16" t="s">
        <v>5</v>
      </c>
      <c r="B16" t="s">
        <v>22</v>
      </c>
      <c r="C16">
        <v>2</v>
      </c>
      <c r="D16" t="s">
        <v>25</v>
      </c>
      <c r="E16">
        <v>-332.88315</v>
      </c>
    </row>
    <row r="17" spans="1:5" x14ac:dyDescent="0.3">
      <c r="A17" t="s">
        <v>5</v>
      </c>
      <c r="B17" t="s">
        <v>26</v>
      </c>
      <c r="C17">
        <v>2</v>
      </c>
      <c r="D17" t="s">
        <v>27</v>
      </c>
      <c r="E17">
        <v>-379.79797000000002</v>
      </c>
    </row>
    <row r="18" spans="1:5" x14ac:dyDescent="0.3">
      <c r="A18" t="s">
        <v>5</v>
      </c>
      <c r="B18" t="s">
        <v>26</v>
      </c>
      <c r="C18">
        <v>2</v>
      </c>
      <c r="D18" t="s">
        <v>28</v>
      </c>
      <c r="E18">
        <v>-378.23563000000001</v>
      </c>
    </row>
    <row r="19" spans="1:5" x14ac:dyDescent="0.3">
      <c r="A19" t="s">
        <v>5</v>
      </c>
      <c r="B19" t="s">
        <v>26</v>
      </c>
      <c r="C19">
        <v>2</v>
      </c>
      <c r="D19" t="s">
        <v>29</v>
      </c>
      <c r="E19">
        <v>-371.39940000000001</v>
      </c>
    </row>
    <row r="20" spans="1:5" x14ac:dyDescent="0.3">
      <c r="A20" t="s">
        <v>5</v>
      </c>
      <c r="B20" t="s">
        <v>30</v>
      </c>
      <c r="C20">
        <v>3</v>
      </c>
      <c r="D20" t="s">
        <v>31</v>
      </c>
      <c r="E20">
        <v>-338.25385999999997</v>
      </c>
    </row>
    <row r="21" spans="1:5" x14ac:dyDescent="0.3">
      <c r="A21" t="s">
        <v>5</v>
      </c>
      <c r="B21" t="s">
        <v>30</v>
      </c>
      <c r="C21">
        <v>3</v>
      </c>
      <c r="D21" t="s">
        <v>32</v>
      </c>
      <c r="E21">
        <v>-337.97856000000002</v>
      </c>
    </row>
    <row r="22" spans="1:5" x14ac:dyDescent="0.3">
      <c r="A22" t="s">
        <v>5</v>
      </c>
      <c r="B22" t="s">
        <v>30</v>
      </c>
      <c r="C22">
        <v>3</v>
      </c>
      <c r="D22" t="s">
        <v>33</v>
      </c>
      <c r="E22">
        <v>-337.88357000000002</v>
      </c>
    </row>
    <row r="23" spans="1:5" x14ac:dyDescent="0.3">
      <c r="A23" t="s">
        <v>5</v>
      </c>
      <c r="B23" t="s">
        <v>34</v>
      </c>
      <c r="C23">
        <v>3</v>
      </c>
      <c r="D23" t="s">
        <v>35</v>
      </c>
      <c r="E23">
        <v>-328.44884000000002</v>
      </c>
    </row>
    <row r="24" spans="1:5" x14ac:dyDescent="0.3">
      <c r="A24" t="s">
        <v>5</v>
      </c>
      <c r="B24" t="s">
        <v>34</v>
      </c>
      <c r="C24">
        <v>3</v>
      </c>
      <c r="D24" t="s">
        <v>36</v>
      </c>
      <c r="E24">
        <v>-328.41027000000003</v>
      </c>
    </row>
    <row r="25" spans="1:5" x14ac:dyDescent="0.3">
      <c r="A25" t="s">
        <v>5</v>
      </c>
      <c r="B25" t="s">
        <v>34</v>
      </c>
      <c r="C25">
        <v>3</v>
      </c>
      <c r="D25" t="s">
        <v>37</v>
      </c>
      <c r="E25">
        <v>-327.94752999999997</v>
      </c>
    </row>
    <row r="26" spans="1:5" x14ac:dyDescent="0.3">
      <c r="A26" t="s">
        <v>5</v>
      </c>
      <c r="B26" t="s">
        <v>38</v>
      </c>
      <c r="C26">
        <v>3</v>
      </c>
      <c r="D26" t="s">
        <v>39</v>
      </c>
      <c r="E26">
        <v>-375.19281000000001</v>
      </c>
    </row>
    <row r="27" spans="1:5" x14ac:dyDescent="0.3">
      <c r="A27" t="s">
        <v>5</v>
      </c>
      <c r="B27" t="s">
        <v>38</v>
      </c>
      <c r="C27">
        <v>3</v>
      </c>
      <c r="D27" t="s">
        <v>40</v>
      </c>
      <c r="E27">
        <v>-374.73509999999999</v>
      </c>
    </row>
    <row r="28" spans="1:5" x14ac:dyDescent="0.3">
      <c r="A28" t="s">
        <v>5</v>
      </c>
      <c r="B28" t="s">
        <v>38</v>
      </c>
      <c r="C28">
        <v>3</v>
      </c>
      <c r="D28" t="s">
        <v>41</v>
      </c>
      <c r="E28">
        <v>-374.09555999999998</v>
      </c>
    </row>
    <row r="29" spans="1:5" x14ac:dyDescent="0.3">
      <c r="A29" t="s">
        <v>5</v>
      </c>
      <c r="B29" t="s">
        <v>42</v>
      </c>
      <c r="C29">
        <v>3</v>
      </c>
      <c r="D29" t="s">
        <v>43</v>
      </c>
      <c r="E29">
        <v>-364.85532999999998</v>
      </c>
    </row>
    <row r="30" spans="1:5" x14ac:dyDescent="0.3">
      <c r="A30" t="s">
        <v>5</v>
      </c>
      <c r="B30" t="s">
        <v>42</v>
      </c>
      <c r="C30">
        <v>3</v>
      </c>
      <c r="D30" t="s">
        <v>44</v>
      </c>
      <c r="E30">
        <v>-364.84742</v>
      </c>
    </row>
    <row r="31" spans="1:5" x14ac:dyDescent="0.3">
      <c r="A31" t="s">
        <v>5</v>
      </c>
      <c r="B31" t="s">
        <v>42</v>
      </c>
      <c r="C31">
        <v>3</v>
      </c>
      <c r="D31" t="s">
        <v>45</v>
      </c>
      <c r="E31">
        <v>-364.83760000000001</v>
      </c>
    </row>
    <row r="32" spans="1:5" x14ac:dyDescent="0.3">
      <c r="A32" t="s">
        <v>5</v>
      </c>
      <c r="B32" t="s">
        <v>46</v>
      </c>
      <c r="C32">
        <v>4</v>
      </c>
      <c r="D32" t="s">
        <v>47</v>
      </c>
      <c r="E32">
        <v>-322.45263</v>
      </c>
    </row>
    <row r="33" spans="1:5" x14ac:dyDescent="0.3">
      <c r="A33" t="s">
        <v>5</v>
      </c>
      <c r="B33" t="s">
        <v>46</v>
      </c>
      <c r="C33">
        <v>4</v>
      </c>
      <c r="D33" t="s">
        <v>48</v>
      </c>
      <c r="E33">
        <v>-321.96206999999998</v>
      </c>
    </row>
    <row r="34" spans="1:5" x14ac:dyDescent="0.3">
      <c r="A34" t="s">
        <v>5</v>
      </c>
      <c r="B34" t="s">
        <v>46</v>
      </c>
      <c r="C34">
        <v>4</v>
      </c>
      <c r="D34" t="s">
        <v>49</v>
      </c>
      <c r="E34">
        <v>-321.70332999999999</v>
      </c>
    </row>
    <row r="35" spans="1:5" x14ac:dyDescent="0.3">
      <c r="A35" t="s">
        <v>5</v>
      </c>
      <c r="B35" t="s">
        <v>50</v>
      </c>
      <c r="C35">
        <v>4</v>
      </c>
      <c r="D35" t="s">
        <v>51</v>
      </c>
      <c r="E35">
        <v>-370.41329000000002</v>
      </c>
    </row>
    <row r="36" spans="1:5" x14ac:dyDescent="0.3">
      <c r="A36" t="s">
        <v>5</v>
      </c>
      <c r="B36" t="s">
        <v>50</v>
      </c>
      <c r="C36">
        <v>4</v>
      </c>
      <c r="D36" t="s">
        <v>52</v>
      </c>
      <c r="E36">
        <v>-370.31727999999998</v>
      </c>
    </row>
    <row r="37" spans="1:5" x14ac:dyDescent="0.3">
      <c r="A37" t="s">
        <v>5</v>
      </c>
      <c r="B37" t="s">
        <v>50</v>
      </c>
      <c r="C37">
        <v>4</v>
      </c>
      <c r="D37" t="s">
        <v>53</v>
      </c>
      <c r="E37">
        <v>-369.89875000000001</v>
      </c>
    </row>
    <row r="38" spans="1:5" x14ac:dyDescent="0.3">
      <c r="A38" t="s">
        <v>5</v>
      </c>
      <c r="B38" t="s">
        <v>54</v>
      </c>
      <c r="C38">
        <v>4</v>
      </c>
      <c r="D38" t="s">
        <v>55</v>
      </c>
      <c r="E38">
        <v>-359.51195000000001</v>
      </c>
    </row>
    <row r="39" spans="1:5" x14ac:dyDescent="0.3">
      <c r="A39" t="s">
        <v>5</v>
      </c>
      <c r="B39" t="s">
        <v>54</v>
      </c>
      <c r="C39">
        <v>4</v>
      </c>
      <c r="D39" t="s">
        <v>56</v>
      </c>
      <c r="E39">
        <v>-358.76969000000003</v>
      </c>
    </row>
    <row r="40" spans="1:5" x14ac:dyDescent="0.3">
      <c r="A40" t="s">
        <v>5</v>
      </c>
      <c r="B40" t="s">
        <v>54</v>
      </c>
      <c r="C40">
        <v>4</v>
      </c>
      <c r="D40" t="s">
        <v>57</v>
      </c>
      <c r="E40">
        <v>-357.56211000000002</v>
      </c>
    </row>
    <row r="41" spans="1:5" x14ac:dyDescent="0.3">
      <c r="A41" t="s">
        <v>5</v>
      </c>
      <c r="B41" t="s">
        <v>58</v>
      </c>
      <c r="C41">
        <v>4</v>
      </c>
      <c r="D41" t="s">
        <v>59</v>
      </c>
      <c r="E41">
        <v>-349.43319000000002</v>
      </c>
    </row>
    <row r="42" spans="1:5" x14ac:dyDescent="0.3">
      <c r="A42" t="s">
        <v>5</v>
      </c>
      <c r="B42" t="s">
        <v>58</v>
      </c>
      <c r="C42">
        <v>4</v>
      </c>
      <c r="D42" t="s">
        <v>60</v>
      </c>
      <c r="E42">
        <v>-348.91151000000002</v>
      </c>
    </row>
    <row r="43" spans="1:5" x14ac:dyDescent="0.3">
      <c r="A43" t="s">
        <v>5</v>
      </c>
      <c r="B43" t="s">
        <v>58</v>
      </c>
      <c r="C43">
        <v>4</v>
      </c>
      <c r="D43" t="s">
        <v>61</v>
      </c>
      <c r="E43">
        <v>-348.86826000000002</v>
      </c>
    </row>
    <row r="44" spans="1:5" x14ac:dyDescent="0.3">
      <c r="A44" t="s">
        <v>5</v>
      </c>
      <c r="B44" t="s">
        <v>62</v>
      </c>
      <c r="C44">
        <v>5</v>
      </c>
      <c r="D44" t="s">
        <v>63</v>
      </c>
      <c r="E44">
        <v>-353.99529000000001</v>
      </c>
    </row>
    <row r="45" spans="1:5" x14ac:dyDescent="0.3">
      <c r="A45" t="s">
        <v>5</v>
      </c>
      <c r="B45" t="s">
        <v>62</v>
      </c>
      <c r="C45">
        <v>5</v>
      </c>
      <c r="D45" t="s">
        <v>64</v>
      </c>
      <c r="E45">
        <v>-353.80529000000001</v>
      </c>
    </row>
    <row r="46" spans="1:5" x14ac:dyDescent="0.3">
      <c r="A46" t="s">
        <v>5</v>
      </c>
      <c r="B46" t="s">
        <v>62</v>
      </c>
      <c r="C46">
        <v>5</v>
      </c>
      <c r="D46" t="s">
        <v>65</v>
      </c>
      <c r="E46">
        <v>-321.43489</v>
      </c>
    </row>
    <row r="47" spans="1:5" x14ac:dyDescent="0.3">
      <c r="A47" t="s">
        <v>5</v>
      </c>
      <c r="B47" t="s">
        <v>66</v>
      </c>
      <c r="C47">
        <v>5</v>
      </c>
      <c r="D47" t="s">
        <v>67</v>
      </c>
      <c r="E47">
        <v>-345.07465000000002</v>
      </c>
    </row>
    <row r="48" spans="1:5" x14ac:dyDescent="0.3">
      <c r="A48" t="s">
        <v>5</v>
      </c>
      <c r="B48" t="s">
        <v>66</v>
      </c>
      <c r="C48">
        <v>5</v>
      </c>
      <c r="D48" t="s">
        <v>68</v>
      </c>
      <c r="E48">
        <v>-344.48016999999999</v>
      </c>
    </row>
    <row r="49" spans="1:5" x14ac:dyDescent="0.3">
      <c r="A49" t="s">
        <v>5</v>
      </c>
      <c r="B49" t="s">
        <v>66</v>
      </c>
      <c r="C49">
        <v>5</v>
      </c>
      <c r="D49" t="s">
        <v>69</v>
      </c>
      <c r="E49">
        <v>-342.94923999999997</v>
      </c>
    </row>
    <row r="50" spans="1:5" x14ac:dyDescent="0.3">
      <c r="A50" t="s">
        <v>5</v>
      </c>
      <c r="B50" t="s">
        <v>70</v>
      </c>
      <c r="C50">
        <v>5</v>
      </c>
      <c r="D50" t="s">
        <v>71</v>
      </c>
      <c r="E50">
        <v>-391.32905</v>
      </c>
    </row>
    <row r="51" spans="1:5" x14ac:dyDescent="0.3">
      <c r="A51" t="s">
        <v>5</v>
      </c>
      <c r="B51" t="s">
        <v>70</v>
      </c>
      <c r="C51">
        <v>5</v>
      </c>
      <c r="D51" t="s">
        <v>72</v>
      </c>
      <c r="E51">
        <v>-391.24169000000001</v>
      </c>
    </row>
    <row r="52" spans="1:5" x14ac:dyDescent="0.3">
      <c r="A52" t="s">
        <v>5</v>
      </c>
      <c r="B52" t="s">
        <v>70</v>
      </c>
      <c r="C52">
        <v>5</v>
      </c>
      <c r="D52" t="s">
        <v>73</v>
      </c>
      <c r="E52">
        <v>-391.16856000000001</v>
      </c>
    </row>
    <row r="53" spans="1:5" x14ac:dyDescent="0.3">
      <c r="A53" t="s">
        <v>5</v>
      </c>
      <c r="B53" t="s">
        <v>74</v>
      </c>
      <c r="C53">
        <v>5</v>
      </c>
      <c r="D53" t="s">
        <v>75</v>
      </c>
      <c r="E53">
        <v>-380.49218999999999</v>
      </c>
    </row>
    <row r="54" spans="1:5" x14ac:dyDescent="0.3">
      <c r="A54" t="s">
        <v>5</v>
      </c>
      <c r="B54" t="s">
        <v>74</v>
      </c>
      <c r="C54">
        <v>5</v>
      </c>
      <c r="D54" t="s">
        <v>76</v>
      </c>
      <c r="E54">
        <v>-380.00306</v>
      </c>
    </row>
    <row r="55" spans="1:5" x14ac:dyDescent="0.3">
      <c r="A55" t="s">
        <v>5</v>
      </c>
      <c r="B55" t="s">
        <v>74</v>
      </c>
      <c r="C55">
        <v>5</v>
      </c>
      <c r="D55" t="s">
        <v>77</v>
      </c>
      <c r="E55">
        <v>-379.56889999999999</v>
      </c>
    </row>
    <row r="56" spans="1:5" x14ac:dyDescent="0.3">
      <c r="A56" t="s">
        <v>5</v>
      </c>
      <c r="B56" t="s">
        <v>78</v>
      </c>
      <c r="C56">
        <v>6</v>
      </c>
      <c r="D56" t="s">
        <v>79</v>
      </c>
      <c r="E56">
        <v>-336.62114000000003</v>
      </c>
    </row>
    <row r="57" spans="1:5" x14ac:dyDescent="0.3">
      <c r="A57" t="s">
        <v>5</v>
      </c>
      <c r="B57" t="s">
        <v>78</v>
      </c>
      <c r="C57">
        <v>6</v>
      </c>
      <c r="D57" t="s">
        <v>80</v>
      </c>
      <c r="E57">
        <v>-336.45418000000001</v>
      </c>
    </row>
    <row r="58" spans="1:5" x14ac:dyDescent="0.3">
      <c r="A58" t="s">
        <v>5</v>
      </c>
      <c r="B58" t="s">
        <v>78</v>
      </c>
      <c r="C58">
        <v>6</v>
      </c>
      <c r="D58" t="s">
        <v>81</v>
      </c>
      <c r="E58">
        <v>-336.18236999999999</v>
      </c>
    </row>
    <row r="59" spans="1:5" x14ac:dyDescent="0.3">
      <c r="A59" t="s">
        <v>5</v>
      </c>
      <c r="B59" t="s">
        <v>82</v>
      </c>
      <c r="C59">
        <v>6</v>
      </c>
      <c r="D59" t="s">
        <v>83</v>
      </c>
      <c r="E59">
        <v>-386.66696000000002</v>
      </c>
    </row>
    <row r="60" spans="1:5" x14ac:dyDescent="0.3">
      <c r="A60" t="s">
        <v>5</v>
      </c>
      <c r="B60" t="s">
        <v>82</v>
      </c>
      <c r="C60">
        <v>6</v>
      </c>
      <c r="D60" t="s">
        <v>84</v>
      </c>
      <c r="E60">
        <v>-386.04167000000001</v>
      </c>
    </row>
    <row r="61" spans="1:5" x14ac:dyDescent="0.3">
      <c r="A61" t="s">
        <v>5</v>
      </c>
      <c r="B61" t="s">
        <v>82</v>
      </c>
      <c r="C61">
        <v>6</v>
      </c>
      <c r="D61" t="s">
        <v>85</v>
      </c>
      <c r="E61">
        <v>-385.97789999999998</v>
      </c>
    </row>
    <row r="62" spans="1:5" x14ac:dyDescent="0.3">
      <c r="A62" t="s">
        <v>5</v>
      </c>
      <c r="B62" t="s">
        <v>86</v>
      </c>
      <c r="C62">
        <v>6</v>
      </c>
      <c r="D62" t="s">
        <v>87</v>
      </c>
      <c r="E62">
        <v>-376.79437000000001</v>
      </c>
    </row>
    <row r="63" spans="1:5" x14ac:dyDescent="0.3">
      <c r="A63" t="s">
        <v>5</v>
      </c>
      <c r="B63" t="s">
        <v>86</v>
      </c>
      <c r="C63">
        <v>6</v>
      </c>
      <c r="D63" t="s">
        <v>88</v>
      </c>
      <c r="E63">
        <v>-376.78937999999999</v>
      </c>
    </row>
    <row r="64" spans="1:5" x14ac:dyDescent="0.3">
      <c r="A64" t="s">
        <v>5</v>
      </c>
      <c r="B64" t="s">
        <v>86</v>
      </c>
      <c r="C64">
        <v>6</v>
      </c>
      <c r="D64" t="s">
        <v>89</v>
      </c>
      <c r="E64">
        <v>-376.32137</v>
      </c>
    </row>
    <row r="65" spans="1:5" x14ac:dyDescent="0.3">
      <c r="A65" t="s">
        <v>5</v>
      </c>
      <c r="B65" t="s">
        <v>90</v>
      </c>
      <c r="C65">
        <v>7</v>
      </c>
      <c r="D65" t="s">
        <v>91</v>
      </c>
      <c r="E65">
        <v>-371.64639</v>
      </c>
    </row>
    <row r="66" spans="1:5" x14ac:dyDescent="0.3">
      <c r="A66" t="s">
        <v>5</v>
      </c>
      <c r="B66" t="s">
        <v>90</v>
      </c>
      <c r="C66">
        <v>7</v>
      </c>
      <c r="D66" t="s">
        <v>92</v>
      </c>
      <c r="E66">
        <v>-371.60311000000002</v>
      </c>
    </row>
    <row r="67" spans="1:5" x14ac:dyDescent="0.3">
      <c r="A67" t="s">
        <v>5</v>
      </c>
      <c r="B67" t="s">
        <v>90</v>
      </c>
      <c r="C67">
        <v>7</v>
      </c>
      <c r="D67" t="s">
        <v>93</v>
      </c>
      <c r="E67">
        <v>-371.46078999999997</v>
      </c>
    </row>
    <row r="68" spans="1:5" x14ac:dyDescent="0.3">
      <c r="A68" t="s">
        <v>94</v>
      </c>
      <c r="B68" t="s">
        <v>6</v>
      </c>
      <c r="C68">
        <v>0</v>
      </c>
      <c r="D68" t="s">
        <v>95</v>
      </c>
      <c r="E68">
        <v>-328.25722999999999</v>
      </c>
    </row>
    <row r="69" spans="1:5" x14ac:dyDescent="0.3">
      <c r="A69" t="s">
        <v>94</v>
      </c>
      <c r="B69" t="s">
        <v>6</v>
      </c>
      <c r="C69">
        <v>0</v>
      </c>
      <c r="D69" t="s">
        <v>96</v>
      </c>
      <c r="E69">
        <v>-328.16313000000002</v>
      </c>
    </row>
    <row r="70" spans="1:5" x14ac:dyDescent="0.3">
      <c r="A70" t="s">
        <v>94</v>
      </c>
      <c r="B70" t="s">
        <v>6</v>
      </c>
      <c r="C70">
        <v>0</v>
      </c>
      <c r="D70" t="s">
        <v>97</v>
      </c>
      <c r="E70">
        <v>-328.05085000000003</v>
      </c>
    </row>
    <row r="71" spans="1:5" x14ac:dyDescent="0.3">
      <c r="A71" t="s">
        <v>94</v>
      </c>
      <c r="B71" t="s">
        <v>10</v>
      </c>
      <c r="C71">
        <v>1</v>
      </c>
      <c r="D71" t="s">
        <v>98</v>
      </c>
      <c r="E71">
        <v>-322.58533</v>
      </c>
    </row>
    <row r="72" spans="1:5" x14ac:dyDescent="0.3">
      <c r="A72" t="s">
        <v>94</v>
      </c>
      <c r="B72" t="s">
        <v>10</v>
      </c>
      <c r="C72">
        <v>1</v>
      </c>
      <c r="D72" t="s">
        <v>99</v>
      </c>
      <c r="E72">
        <v>-322.46208999999999</v>
      </c>
    </row>
    <row r="73" spans="1:5" x14ac:dyDescent="0.3">
      <c r="A73" t="s">
        <v>94</v>
      </c>
      <c r="B73" t="s">
        <v>10</v>
      </c>
      <c r="C73">
        <v>1</v>
      </c>
      <c r="D73" t="s">
        <v>100</v>
      </c>
      <c r="E73">
        <v>-321.98887999999999</v>
      </c>
    </row>
    <row r="74" spans="1:5" x14ac:dyDescent="0.3">
      <c r="A74" t="s">
        <v>94</v>
      </c>
      <c r="B74" t="s">
        <v>14</v>
      </c>
      <c r="C74">
        <v>1</v>
      </c>
      <c r="D74" t="s">
        <v>101</v>
      </c>
      <c r="E74">
        <v>-358.19283000000001</v>
      </c>
    </row>
    <row r="75" spans="1:5" x14ac:dyDescent="0.3">
      <c r="A75" t="s">
        <v>94</v>
      </c>
      <c r="B75" t="s">
        <v>14</v>
      </c>
      <c r="C75">
        <v>1</v>
      </c>
      <c r="D75" t="s">
        <v>102</v>
      </c>
      <c r="E75">
        <v>-357.90143999999998</v>
      </c>
    </row>
    <row r="76" spans="1:5" x14ac:dyDescent="0.3">
      <c r="A76" t="s">
        <v>94</v>
      </c>
      <c r="B76" t="s">
        <v>14</v>
      </c>
      <c r="C76">
        <v>1</v>
      </c>
      <c r="D76" t="s">
        <v>103</v>
      </c>
      <c r="E76">
        <v>-357.71073000000001</v>
      </c>
    </row>
    <row r="77" spans="1:5" x14ac:dyDescent="0.3">
      <c r="A77" t="s">
        <v>94</v>
      </c>
      <c r="B77" t="s">
        <v>18</v>
      </c>
      <c r="C77">
        <v>2</v>
      </c>
      <c r="D77" t="s">
        <v>104</v>
      </c>
      <c r="E77">
        <v>-354.07686999999999</v>
      </c>
    </row>
    <row r="78" spans="1:5" x14ac:dyDescent="0.3">
      <c r="A78" t="s">
        <v>94</v>
      </c>
      <c r="B78" t="s">
        <v>18</v>
      </c>
      <c r="C78">
        <v>2</v>
      </c>
      <c r="D78" t="s">
        <v>105</v>
      </c>
      <c r="E78">
        <v>-353.86273</v>
      </c>
    </row>
    <row r="79" spans="1:5" x14ac:dyDescent="0.3">
      <c r="A79" t="s">
        <v>94</v>
      </c>
      <c r="B79" t="s">
        <v>18</v>
      </c>
      <c r="C79">
        <v>2</v>
      </c>
      <c r="D79" t="s">
        <v>106</v>
      </c>
      <c r="E79">
        <v>-352.41070000000002</v>
      </c>
    </row>
    <row r="80" spans="1:5" x14ac:dyDescent="0.3">
      <c r="A80" t="s">
        <v>94</v>
      </c>
      <c r="B80" t="s">
        <v>22</v>
      </c>
      <c r="C80">
        <v>2</v>
      </c>
      <c r="D80" t="s">
        <v>107</v>
      </c>
      <c r="E80">
        <v>-342.45206999999999</v>
      </c>
    </row>
    <row r="81" spans="1:5" x14ac:dyDescent="0.3">
      <c r="A81" t="s">
        <v>94</v>
      </c>
      <c r="B81" t="s">
        <v>22</v>
      </c>
      <c r="C81">
        <v>2</v>
      </c>
      <c r="D81" t="s">
        <v>108</v>
      </c>
      <c r="E81">
        <v>-342.32236</v>
      </c>
    </row>
    <row r="82" spans="1:5" x14ac:dyDescent="0.3">
      <c r="A82" t="s">
        <v>94</v>
      </c>
      <c r="B82" t="s">
        <v>22</v>
      </c>
      <c r="C82">
        <v>2</v>
      </c>
      <c r="D82" t="s">
        <v>109</v>
      </c>
      <c r="E82">
        <v>-342.29509000000002</v>
      </c>
    </row>
    <row r="83" spans="1:5" x14ac:dyDescent="0.3">
      <c r="A83" t="s">
        <v>94</v>
      </c>
      <c r="B83" t="s">
        <v>26</v>
      </c>
      <c r="C83">
        <v>2</v>
      </c>
      <c r="D83" t="s">
        <v>110</v>
      </c>
      <c r="E83">
        <v>-388.82974999999999</v>
      </c>
    </row>
    <row r="84" spans="1:5" x14ac:dyDescent="0.3">
      <c r="A84" t="s">
        <v>94</v>
      </c>
      <c r="B84" t="s">
        <v>26</v>
      </c>
      <c r="C84">
        <v>2</v>
      </c>
      <c r="D84" t="s">
        <v>111</v>
      </c>
      <c r="E84">
        <v>-388.67048</v>
      </c>
    </row>
    <row r="85" spans="1:5" x14ac:dyDescent="0.3">
      <c r="A85" t="s">
        <v>94</v>
      </c>
      <c r="B85" t="s">
        <v>26</v>
      </c>
      <c r="C85">
        <v>2</v>
      </c>
      <c r="D85" t="s">
        <v>112</v>
      </c>
      <c r="E85">
        <v>-388.59674000000001</v>
      </c>
    </row>
    <row r="86" spans="1:5" x14ac:dyDescent="0.3">
      <c r="A86" t="s">
        <v>94</v>
      </c>
      <c r="B86" t="s">
        <v>30</v>
      </c>
      <c r="C86">
        <v>3</v>
      </c>
      <c r="D86" t="s">
        <v>113</v>
      </c>
      <c r="E86">
        <v>-348.65289999999999</v>
      </c>
    </row>
    <row r="87" spans="1:5" x14ac:dyDescent="0.3">
      <c r="A87" t="s">
        <v>94</v>
      </c>
      <c r="B87" t="s">
        <v>30</v>
      </c>
      <c r="C87">
        <v>3</v>
      </c>
      <c r="D87" t="s">
        <v>114</v>
      </c>
      <c r="E87">
        <v>-348.33114999999998</v>
      </c>
    </row>
    <row r="88" spans="1:5" x14ac:dyDescent="0.3">
      <c r="A88" t="s">
        <v>94</v>
      </c>
      <c r="B88" t="s">
        <v>30</v>
      </c>
      <c r="C88">
        <v>3</v>
      </c>
      <c r="D88" t="s">
        <v>115</v>
      </c>
      <c r="E88">
        <v>-348.21364999999997</v>
      </c>
    </row>
    <row r="89" spans="1:5" x14ac:dyDescent="0.3">
      <c r="A89" t="s">
        <v>94</v>
      </c>
      <c r="B89" t="s">
        <v>34</v>
      </c>
      <c r="C89">
        <v>3</v>
      </c>
      <c r="D89" t="s">
        <v>116</v>
      </c>
      <c r="E89">
        <v>-338.21314000000001</v>
      </c>
    </row>
    <row r="90" spans="1:5" x14ac:dyDescent="0.3">
      <c r="A90" t="s">
        <v>94</v>
      </c>
      <c r="B90" t="s">
        <v>34</v>
      </c>
      <c r="C90">
        <v>3</v>
      </c>
      <c r="D90" t="s">
        <v>117</v>
      </c>
      <c r="E90">
        <v>-337.90714000000003</v>
      </c>
    </row>
    <row r="91" spans="1:5" x14ac:dyDescent="0.3">
      <c r="A91" t="s">
        <v>94</v>
      </c>
      <c r="B91" t="s">
        <v>34</v>
      </c>
      <c r="C91">
        <v>3</v>
      </c>
      <c r="D91" t="s">
        <v>118</v>
      </c>
      <c r="E91">
        <v>-337.82850000000002</v>
      </c>
    </row>
    <row r="92" spans="1:5" x14ac:dyDescent="0.3">
      <c r="A92" t="s">
        <v>94</v>
      </c>
      <c r="B92" t="s">
        <v>38</v>
      </c>
      <c r="C92">
        <v>3</v>
      </c>
      <c r="D92" t="s">
        <v>119</v>
      </c>
      <c r="E92">
        <v>-384.57198</v>
      </c>
    </row>
    <row r="93" spans="1:5" x14ac:dyDescent="0.3">
      <c r="A93" t="s">
        <v>94</v>
      </c>
      <c r="B93" t="s">
        <v>38</v>
      </c>
      <c r="C93">
        <v>3</v>
      </c>
      <c r="D93" t="s">
        <v>120</v>
      </c>
      <c r="E93">
        <v>-384.50324000000001</v>
      </c>
    </row>
    <row r="94" spans="1:5" x14ac:dyDescent="0.3">
      <c r="A94" t="s">
        <v>94</v>
      </c>
      <c r="B94" t="s">
        <v>38</v>
      </c>
      <c r="C94">
        <v>3</v>
      </c>
      <c r="D94" t="s">
        <v>121</v>
      </c>
      <c r="E94">
        <v>-384.12565999999998</v>
      </c>
    </row>
    <row r="95" spans="1:5" x14ac:dyDescent="0.3">
      <c r="A95" t="s">
        <v>94</v>
      </c>
      <c r="B95" t="s">
        <v>42</v>
      </c>
      <c r="C95">
        <v>3</v>
      </c>
      <c r="D95" t="s">
        <v>122</v>
      </c>
      <c r="E95">
        <v>-373.36135000000002</v>
      </c>
    </row>
    <row r="96" spans="1:5" x14ac:dyDescent="0.3">
      <c r="A96" t="s">
        <v>94</v>
      </c>
      <c r="B96" t="s">
        <v>42</v>
      </c>
      <c r="C96">
        <v>3</v>
      </c>
      <c r="D96" t="s">
        <v>123</v>
      </c>
      <c r="E96">
        <v>-373.30031000000002</v>
      </c>
    </row>
    <row r="97" spans="1:5" x14ac:dyDescent="0.3">
      <c r="A97" t="s">
        <v>94</v>
      </c>
      <c r="B97" t="s">
        <v>42</v>
      </c>
      <c r="C97">
        <v>3</v>
      </c>
      <c r="D97" t="s">
        <v>124</v>
      </c>
      <c r="E97">
        <v>-373.15687000000003</v>
      </c>
    </row>
    <row r="98" spans="1:5" x14ac:dyDescent="0.3">
      <c r="A98" t="s">
        <v>94</v>
      </c>
      <c r="B98" t="s">
        <v>46</v>
      </c>
      <c r="C98">
        <v>4</v>
      </c>
      <c r="D98" t="s">
        <v>125</v>
      </c>
      <c r="E98">
        <v>-332.60637000000003</v>
      </c>
    </row>
    <row r="99" spans="1:5" x14ac:dyDescent="0.3">
      <c r="A99" t="s">
        <v>94</v>
      </c>
      <c r="B99" t="s">
        <v>46</v>
      </c>
      <c r="C99">
        <v>4</v>
      </c>
      <c r="D99" t="s">
        <v>126</v>
      </c>
      <c r="E99">
        <v>-332.23268999999999</v>
      </c>
    </row>
    <row r="100" spans="1:5" x14ac:dyDescent="0.3">
      <c r="A100" t="s">
        <v>94</v>
      </c>
      <c r="B100" t="s">
        <v>46</v>
      </c>
      <c r="C100">
        <v>4</v>
      </c>
      <c r="D100" t="s">
        <v>127</v>
      </c>
      <c r="E100">
        <v>-331.61005</v>
      </c>
    </row>
    <row r="101" spans="1:5" x14ac:dyDescent="0.3">
      <c r="A101" t="s">
        <v>94</v>
      </c>
      <c r="B101" t="s">
        <v>50</v>
      </c>
      <c r="C101">
        <v>4</v>
      </c>
      <c r="D101" t="s">
        <v>128</v>
      </c>
      <c r="E101">
        <v>-380.62536999999998</v>
      </c>
    </row>
    <row r="102" spans="1:5" x14ac:dyDescent="0.3">
      <c r="A102" t="s">
        <v>94</v>
      </c>
      <c r="B102" t="s">
        <v>50</v>
      </c>
      <c r="C102">
        <v>4</v>
      </c>
      <c r="D102" t="s">
        <v>129</v>
      </c>
      <c r="E102">
        <v>-380.48667</v>
      </c>
    </row>
    <row r="103" spans="1:5" x14ac:dyDescent="0.3">
      <c r="A103" t="s">
        <v>94</v>
      </c>
      <c r="B103" t="s">
        <v>50</v>
      </c>
      <c r="C103">
        <v>4</v>
      </c>
      <c r="D103" t="s">
        <v>130</v>
      </c>
      <c r="E103">
        <v>-380.24304999999998</v>
      </c>
    </row>
    <row r="104" spans="1:5" x14ac:dyDescent="0.3">
      <c r="A104" t="s">
        <v>94</v>
      </c>
      <c r="B104" t="s">
        <v>54</v>
      </c>
      <c r="C104">
        <v>4</v>
      </c>
      <c r="D104" t="s">
        <v>131</v>
      </c>
      <c r="E104">
        <v>-369.04496</v>
      </c>
    </row>
    <row r="105" spans="1:5" x14ac:dyDescent="0.3">
      <c r="A105" t="s">
        <v>94</v>
      </c>
      <c r="B105" t="s">
        <v>54</v>
      </c>
      <c r="C105">
        <v>4</v>
      </c>
      <c r="D105" t="s">
        <v>132</v>
      </c>
      <c r="E105">
        <v>-368.99743999999998</v>
      </c>
    </row>
    <row r="106" spans="1:5" x14ac:dyDescent="0.3">
      <c r="A106" t="s">
        <v>94</v>
      </c>
      <c r="B106" t="s">
        <v>54</v>
      </c>
      <c r="C106">
        <v>4</v>
      </c>
      <c r="D106" t="s">
        <v>133</v>
      </c>
      <c r="E106">
        <v>-362.90048000000002</v>
      </c>
    </row>
    <row r="107" spans="1:5" x14ac:dyDescent="0.3">
      <c r="A107" t="s">
        <v>94</v>
      </c>
      <c r="B107" t="s">
        <v>58</v>
      </c>
      <c r="C107">
        <v>4</v>
      </c>
      <c r="D107" t="s">
        <v>134</v>
      </c>
      <c r="E107">
        <v>-358.42347000000001</v>
      </c>
    </row>
    <row r="108" spans="1:5" x14ac:dyDescent="0.3">
      <c r="A108" t="s">
        <v>94</v>
      </c>
      <c r="B108" t="s">
        <v>58</v>
      </c>
      <c r="C108">
        <v>4</v>
      </c>
      <c r="D108" t="s">
        <v>135</v>
      </c>
      <c r="E108">
        <v>-358.07506000000001</v>
      </c>
    </row>
    <row r="109" spans="1:5" x14ac:dyDescent="0.3">
      <c r="A109" t="s">
        <v>94</v>
      </c>
      <c r="B109" t="s">
        <v>58</v>
      </c>
      <c r="C109">
        <v>4</v>
      </c>
      <c r="D109" t="s">
        <v>136</v>
      </c>
      <c r="E109">
        <v>-357.45895999999999</v>
      </c>
    </row>
    <row r="110" spans="1:5" x14ac:dyDescent="0.3">
      <c r="A110" t="s">
        <v>94</v>
      </c>
      <c r="B110" t="s">
        <v>62</v>
      </c>
      <c r="C110">
        <v>5</v>
      </c>
      <c r="D110" t="s">
        <v>137</v>
      </c>
      <c r="E110">
        <v>-364.19117999999997</v>
      </c>
    </row>
    <row r="111" spans="1:5" x14ac:dyDescent="0.3">
      <c r="A111" t="s">
        <v>94</v>
      </c>
      <c r="B111" t="s">
        <v>62</v>
      </c>
      <c r="C111">
        <v>5</v>
      </c>
      <c r="D111" t="s">
        <v>138</v>
      </c>
      <c r="E111">
        <v>-363.72127999999998</v>
      </c>
    </row>
    <row r="112" spans="1:5" x14ac:dyDescent="0.3">
      <c r="A112" t="s">
        <v>94</v>
      </c>
      <c r="B112" t="s">
        <v>62</v>
      </c>
      <c r="C112">
        <v>5</v>
      </c>
      <c r="D112" t="s">
        <v>139</v>
      </c>
      <c r="E112">
        <v>-363.68239</v>
      </c>
    </row>
    <row r="113" spans="1:5" x14ac:dyDescent="0.3">
      <c r="A113" t="s">
        <v>94</v>
      </c>
      <c r="B113" t="s">
        <v>66</v>
      </c>
      <c r="C113">
        <v>5</v>
      </c>
      <c r="D113" t="s">
        <v>140</v>
      </c>
      <c r="E113">
        <v>-353.97376000000003</v>
      </c>
    </row>
    <row r="114" spans="1:5" x14ac:dyDescent="0.3">
      <c r="A114" t="s">
        <v>94</v>
      </c>
      <c r="B114" t="s">
        <v>66</v>
      </c>
      <c r="C114">
        <v>5</v>
      </c>
      <c r="D114" t="s">
        <v>141</v>
      </c>
      <c r="E114">
        <v>-353.96659</v>
      </c>
    </row>
    <row r="115" spans="1:5" x14ac:dyDescent="0.3">
      <c r="A115" t="s">
        <v>94</v>
      </c>
      <c r="B115" t="s">
        <v>66</v>
      </c>
      <c r="C115">
        <v>5</v>
      </c>
      <c r="D115" t="s">
        <v>142</v>
      </c>
      <c r="E115">
        <v>-353.57907</v>
      </c>
    </row>
    <row r="116" spans="1:5" x14ac:dyDescent="0.3">
      <c r="A116" t="s">
        <v>94</v>
      </c>
      <c r="B116" t="s">
        <v>70</v>
      </c>
      <c r="C116">
        <v>5</v>
      </c>
      <c r="D116" t="s">
        <v>143</v>
      </c>
      <c r="E116">
        <v>-400.03124000000003</v>
      </c>
    </row>
    <row r="117" spans="1:5" x14ac:dyDescent="0.3">
      <c r="A117" t="s">
        <v>94</v>
      </c>
      <c r="B117" t="s">
        <v>70</v>
      </c>
      <c r="C117">
        <v>5</v>
      </c>
      <c r="D117" t="s">
        <v>144</v>
      </c>
      <c r="E117">
        <v>-399.98473000000001</v>
      </c>
    </row>
    <row r="118" spans="1:5" x14ac:dyDescent="0.3">
      <c r="A118" t="s">
        <v>94</v>
      </c>
      <c r="B118" t="s">
        <v>70</v>
      </c>
      <c r="C118">
        <v>5</v>
      </c>
      <c r="D118" t="s">
        <v>145</v>
      </c>
      <c r="E118">
        <v>-399.75479999999999</v>
      </c>
    </row>
    <row r="119" spans="1:5" x14ac:dyDescent="0.3">
      <c r="A119" t="s">
        <v>94</v>
      </c>
      <c r="B119" t="s">
        <v>74</v>
      </c>
      <c r="C119">
        <v>5</v>
      </c>
      <c r="D119" t="s">
        <v>146</v>
      </c>
      <c r="E119">
        <v>-388.64616000000001</v>
      </c>
    </row>
    <row r="120" spans="1:5" x14ac:dyDescent="0.3">
      <c r="A120" t="s">
        <v>94</v>
      </c>
      <c r="B120" t="s">
        <v>74</v>
      </c>
      <c r="C120">
        <v>5</v>
      </c>
      <c r="D120" t="s">
        <v>147</v>
      </c>
      <c r="E120">
        <v>-388.44074000000001</v>
      </c>
    </row>
    <row r="121" spans="1:5" x14ac:dyDescent="0.3">
      <c r="A121" t="s">
        <v>94</v>
      </c>
      <c r="B121" t="s">
        <v>74</v>
      </c>
      <c r="C121">
        <v>5</v>
      </c>
      <c r="D121" t="s">
        <v>148</v>
      </c>
      <c r="E121">
        <v>-388.33116000000001</v>
      </c>
    </row>
    <row r="122" spans="1:5" x14ac:dyDescent="0.3">
      <c r="A122" t="s">
        <v>94</v>
      </c>
      <c r="B122" t="s">
        <v>78</v>
      </c>
      <c r="C122">
        <v>6</v>
      </c>
      <c r="D122" t="s">
        <v>149</v>
      </c>
      <c r="E122">
        <v>-346.80023</v>
      </c>
    </row>
    <row r="123" spans="1:5" x14ac:dyDescent="0.3">
      <c r="A123" t="s">
        <v>94</v>
      </c>
      <c r="B123" t="s">
        <v>78</v>
      </c>
      <c r="C123">
        <v>6</v>
      </c>
      <c r="D123" t="s">
        <v>150</v>
      </c>
      <c r="E123">
        <v>-346.63222999999999</v>
      </c>
    </row>
    <row r="124" spans="1:5" x14ac:dyDescent="0.3">
      <c r="A124" t="s">
        <v>94</v>
      </c>
      <c r="B124" t="s">
        <v>78</v>
      </c>
      <c r="C124">
        <v>6</v>
      </c>
      <c r="D124" t="s">
        <v>151</v>
      </c>
      <c r="E124">
        <v>-346.43232</v>
      </c>
    </row>
    <row r="125" spans="1:5" x14ac:dyDescent="0.3">
      <c r="A125" t="s">
        <v>94</v>
      </c>
      <c r="B125" t="s">
        <v>82</v>
      </c>
      <c r="C125">
        <v>6</v>
      </c>
      <c r="D125" t="s">
        <v>152</v>
      </c>
      <c r="E125">
        <v>-396.17568</v>
      </c>
    </row>
    <row r="126" spans="1:5" x14ac:dyDescent="0.3">
      <c r="A126" t="s">
        <v>94</v>
      </c>
      <c r="B126" t="s">
        <v>82</v>
      </c>
      <c r="C126">
        <v>6</v>
      </c>
      <c r="D126" t="s">
        <v>153</v>
      </c>
      <c r="E126">
        <v>-396.00637999999998</v>
      </c>
    </row>
    <row r="127" spans="1:5" x14ac:dyDescent="0.3">
      <c r="A127" t="s">
        <v>94</v>
      </c>
      <c r="B127" t="s">
        <v>82</v>
      </c>
      <c r="C127">
        <v>6</v>
      </c>
      <c r="D127" t="s">
        <v>154</v>
      </c>
      <c r="E127">
        <v>-395.28865000000002</v>
      </c>
    </row>
    <row r="128" spans="1:5" x14ac:dyDescent="0.3">
      <c r="A128" t="s">
        <v>94</v>
      </c>
      <c r="B128" t="s">
        <v>86</v>
      </c>
      <c r="C128">
        <v>6</v>
      </c>
      <c r="D128" t="s">
        <v>155</v>
      </c>
      <c r="E128">
        <v>-385.02523000000002</v>
      </c>
    </row>
    <row r="129" spans="1:5" x14ac:dyDescent="0.3">
      <c r="A129" t="s">
        <v>94</v>
      </c>
      <c r="B129" t="s">
        <v>86</v>
      </c>
      <c r="C129">
        <v>6</v>
      </c>
      <c r="D129" t="s">
        <v>156</v>
      </c>
      <c r="E129">
        <v>-385.02429999999998</v>
      </c>
    </row>
    <row r="130" spans="1:5" x14ac:dyDescent="0.3">
      <c r="A130" t="s">
        <v>94</v>
      </c>
      <c r="B130" t="s">
        <v>86</v>
      </c>
      <c r="C130">
        <v>6</v>
      </c>
      <c r="D130" t="s">
        <v>157</v>
      </c>
      <c r="E130">
        <v>-385.00617</v>
      </c>
    </row>
    <row r="131" spans="1:5" x14ac:dyDescent="0.3">
      <c r="A131" t="s">
        <v>94</v>
      </c>
      <c r="B131" t="s">
        <v>90</v>
      </c>
      <c r="C131">
        <v>7</v>
      </c>
      <c r="D131" t="s">
        <v>158</v>
      </c>
      <c r="E131">
        <v>-381.45965000000001</v>
      </c>
    </row>
    <row r="132" spans="1:5" x14ac:dyDescent="0.3">
      <c r="A132" t="s">
        <v>94</v>
      </c>
      <c r="B132" t="s">
        <v>90</v>
      </c>
      <c r="C132">
        <v>7</v>
      </c>
      <c r="D132" t="s">
        <v>159</v>
      </c>
      <c r="E132">
        <v>-381.41512999999998</v>
      </c>
    </row>
    <row r="133" spans="1:5" x14ac:dyDescent="0.3">
      <c r="A133" t="s">
        <v>94</v>
      </c>
      <c r="B133" t="s">
        <v>90</v>
      </c>
      <c r="C133">
        <v>7</v>
      </c>
      <c r="D133" t="s">
        <v>160</v>
      </c>
      <c r="E133">
        <v>-381.40562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5"/>
  <sheetViews>
    <sheetView tabSelected="1" workbookViewId="0">
      <selection activeCell="D1" sqref="D1"/>
    </sheetView>
  </sheetViews>
  <sheetFormatPr defaultRowHeight="16.5" x14ac:dyDescent="0.3"/>
  <cols>
    <col min="15" max="15" width="10.25" bestFit="1" customWidth="1"/>
    <col min="16" max="16" width="10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161</v>
      </c>
      <c r="G1" s="2" t="s">
        <v>165</v>
      </c>
      <c r="H1" s="2"/>
      <c r="I1" s="2" t="s">
        <v>162</v>
      </c>
      <c r="J1" t="s">
        <v>164</v>
      </c>
      <c r="K1" s="1" t="s">
        <v>2</v>
      </c>
      <c r="L1" s="14" t="s">
        <v>163</v>
      </c>
      <c r="M1" s="14" t="s">
        <v>173</v>
      </c>
      <c r="N1" s="1" t="s">
        <v>165</v>
      </c>
      <c r="O1" s="14" t="s">
        <v>166</v>
      </c>
      <c r="P1" s="14"/>
      <c r="Q1" s="14" t="s">
        <v>167</v>
      </c>
      <c r="T1" s="15" t="s">
        <v>168</v>
      </c>
      <c r="U1" s="15" t="s">
        <v>163</v>
      </c>
      <c r="V1" t="s">
        <v>172</v>
      </c>
    </row>
    <row r="2" spans="1:22" x14ac:dyDescent="0.3">
      <c r="A2" t="s">
        <v>5</v>
      </c>
      <c r="B2" t="s">
        <v>6</v>
      </c>
      <c r="C2">
        <v>0</v>
      </c>
      <c r="D2" t="s">
        <v>7</v>
      </c>
      <c r="E2">
        <v>-318.06864999999999</v>
      </c>
      <c r="F2">
        <f>C2+0.5</f>
        <v>0.5</v>
      </c>
      <c r="J2" s="3" t="s">
        <v>6</v>
      </c>
      <c r="K2" s="3">
        <v>0</v>
      </c>
      <c r="L2" s="15">
        <v>-225.40324000000001</v>
      </c>
      <c r="M2" s="6">
        <v>0</v>
      </c>
      <c r="N2" s="3">
        <v>0</v>
      </c>
      <c r="O2">
        <v>-318.06864999999999</v>
      </c>
      <c r="P2">
        <f>O2-$U$3-$L$2+M2</f>
        <v>-2.0154039999999611</v>
      </c>
      <c r="Q2">
        <v>-328.25722999999999</v>
      </c>
      <c r="R2">
        <f>Q2-$U$2-$L$2+M2</f>
        <v>-1.0506999999999778</v>
      </c>
      <c r="T2" s="15" t="s">
        <v>169</v>
      </c>
      <c r="U2" s="15">
        <v>-101.80329</v>
      </c>
    </row>
    <row r="3" spans="1:22" x14ac:dyDescent="0.3">
      <c r="A3" t="s">
        <v>5</v>
      </c>
      <c r="B3" t="s">
        <v>10</v>
      </c>
      <c r="C3">
        <v>1</v>
      </c>
      <c r="D3" t="s">
        <v>11</v>
      </c>
      <c r="E3">
        <v>-312.84998000000002</v>
      </c>
      <c r="F3">
        <f>C3+0.5</f>
        <v>1.5</v>
      </c>
      <c r="J3" s="6" t="s">
        <v>10</v>
      </c>
      <c r="K3" s="6">
        <v>1</v>
      </c>
      <c r="L3" s="15">
        <v>-219.60005000000001</v>
      </c>
      <c r="M3" s="9">
        <v>-4.9704117812500002</v>
      </c>
      <c r="N3" s="7">
        <v>0.83277821875000058</v>
      </c>
      <c r="O3">
        <v>-312.84998000000002</v>
      </c>
      <c r="P3">
        <f>O3-$U$3-$L$2+M3</f>
        <v>-1.7671457812499867</v>
      </c>
      <c r="Q3">
        <v>-322.58533</v>
      </c>
      <c r="R3">
        <f>Q3-$U$2-$L$2+M3</f>
        <v>-0.3492117812499842</v>
      </c>
      <c r="T3" s="15" t="s">
        <v>170</v>
      </c>
      <c r="U3" s="15">
        <v>-90.650006000000005</v>
      </c>
    </row>
    <row r="4" spans="1:22" x14ac:dyDescent="0.3">
      <c r="A4" t="s">
        <v>5</v>
      </c>
      <c r="B4" t="s">
        <v>14</v>
      </c>
      <c r="C4">
        <v>1</v>
      </c>
      <c r="D4" t="s">
        <v>15</v>
      </c>
      <c r="E4">
        <v>-348.31592000000001</v>
      </c>
      <c r="F4">
        <f>C4+0.5</f>
        <v>1.5</v>
      </c>
      <c r="J4" s="4" t="s">
        <v>14</v>
      </c>
      <c r="K4" s="4">
        <v>1</v>
      </c>
      <c r="L4" s="15">
        <v>-255.58632</v>
      </c>
      <c r="M4" s="5">
        <v>30.405611499999999</v>
      </c>
      <c r="N4" s="5">
        <v>0.22253150000000943</v>
      </c>
      <c r="O4">
        <v>-348.31592000000001</v>
      </c>
      <c r="P4">
        <f>O4-$U$3-$L$2+M4</f>
        <v>-1.8570624999999765</v>
      </c>
      <c r="Q4">
        <v>-358.19283000000001</v>
      </c>
      <c r="R4">
        <f>Q4-$U$2-$L$2+M4</f>
        <v>-0.58068850000000083</v>
      </c>
    </row>
    <row r="5" spans="1:22" x14ac:dyDescent="0.3">
      <c r="A5" t="s">
        <v>5</v>
      </c>
      <c r="B5" t="s">
        <v>18</v>
      </c>
      <c r="C5">
        <v>2</v>
      </c>
      <c r="D5" t="s">
        <v>19</v>
      </c>
      <c r="E5">
        <v>-344.05515000000003</v>
      </c>
      <c r="F5">
        <f>C5+0.5</f>
        <v>2.5</v>
      </c>
      <c r="J5" s="5" t="s">
        <v>18</v>
      </c>
      <c r="K5" s="8">
        <v>2</v>
      </c>
      <c r="L5" s="15">
        <v>-250.98857000000001</v>
      </c>
      <c r="M5" s="5">
        <v>25.435199718749999</v>
      </c>
      <c r="N5" s="4">
        <v>-0.15013028125000005</v>
      </c>
      <c r="O5">
        <v>-344.05515000000003</v>
      </c>
      <c r="P5">
        <f>O5-$U$3-$L$2+M5</f>
        <v>-2.5667042812499972</v>
      </c>
      <c r="Q5">
        <v>-354.07686999999999</v>
      </c>
      <c r="R5">
        <f>Q5-$U$2-$L$2+M5</f>
        <v>-1.4351402812499714</v>
      </c>
      <c r="T5" t="s">
        <v>171</v>
      </c>
    </row>
    <row r="6" spans="1:22" x14ac:dyDescent="0.3">
      <c r="A6" t="s">
        <v>5</v>
      </c>
      <c r="B6" t="s">
        <v>22</v>
      </c>
      <c r="C6">
        <v>2</v>
      </c>
      <c r="D6" t="s">
        <v>23</v>
      </c>
      <c r="E6">
        <v>-333.59134</v>
      </c>
      <c r="F6">
        <f>C6+0.5</f>
        <v>2.5</v>
      </c>
      <c r="J6" s="5" t="s">
        <v>22</v>
      </c>
      <c r="K6" s="4">
        <v>2</v>
      </c>
      <c r="L6" s="15">
        <v>-240.33416</v>
      </c>
      <c r="M6" s="5">
        <v>15.52457525</v>
      </c>
      <c r="N6" s="4">
        <v>0.59365525000001362</v>
      </c>
      <c r="O6">
        <v>-333.59134</v>
      </c>
      <c r="P6">
        <f>O6-$U$3-$L$2+M6</f>
        <v>-2.0135187499999727</v>
      </c>
      <c r="Q6">
        <v>-342.45206999999999</v>
      </c>
      <c r="R6">
        <f>Q6-$U$2-$L$2+M6</f>
        <v>0.27903525000002283</v>
      </c>
    </row>
    <row r="7" spans="1:22" x14ac:dyDescent="0.3">
      <c r="A7" t="s">
        <v>5</v>
      </c>
      <c r="B7" t="s">
        <v>26</v>
      </c>
      <c r="C7">
        <v>2</v>
      </c>
      <c r="D7" t="s">
        <v>27</v>
      </c>
      <c r="E7">
        <v>-379.79797000000002</v>
      </c>
      <c r="F7">
        <f>C7+0.5</f>
        <v>2.5</v>
      </c>
      <c r="J7" s="9" t="s">
        <v>26</v>
      </c>
      <c r="K7" s="6">
        <v>2</v>
      </c>
      <c r="L7" s="15">
        <v>-286.42541999999997</v>
      </c>
      <c r="M7" s="9">
        <v>60.811222999999998</v>
      </c>
      <c r="N7" s="9">
        <v>-0.21095699999996498</v>
      </c>
      <c r="O7">
        <v>-379.79797000000002</v>
      </c>
      <c r="P7">
        <f>O7-$U$3-$L$2+M7</f>
        <v>-2.9335009999999926</v>
      </c>
      <c r="Q7">
        <v>-388.82974999999999</v>
      </c>
      <c r="R7">
        <f>Q7-$U$2-$L$2+M7</f>
        <v>-0.81199699999997677</v>
      </c>
    </row>
    <row r="8" spans="1:22" x14ac:dyDescent="0.3">
      <c r="A8" t="s">
        <v>5</v>
      </c>
      <c r="B8" t="s">
        <v>30</v>
      </c>
      <c r="C8">
        <v>3</v>
      </c>
      <c r="D8" t="s">
        <v>31</v>
      </c>
      <c r="E8">
        <v>-338.25385999999997</v>
      </c>
      <c r="F8">
        <f>C8+0.5</f>
        <v>3.5</v>
      </c>
      <c r="J8" s="4" t="s">
        <v>30</v>
      </c>
      <c r="K8" s="8">
        <v>3</v>
      </c>
      <c r="L8" s="15">
        <v>-245.96413999999999</v>
      </c>
      <c r="M8" s="5">
        <v>20.464787937499999</v>
      </c>
      <c r="N8" s="4">
        <v>-9.6112062499976503E-2</v>
      </c>
      <c r="O8">
        <v>-338.25385999999997</v>
      </c>
      <c r="P8">
        <f>O8-$U$3-$L$2+M8</f>
        <v>-1.735826062499946</v>
      </c>
      <c r="Q8">
        <v>-348.65289999999999</v>
      </c>
      <c r="R8">
        <f>Q8-$U$2-$L$2+M8</f>
        <v>-0.98158206249997448</v>
      </c>
    </row>
    <row r="9" spans="1:22" x14ac:dyDescent="0.3">
      <c r="A9" t="s">
        <v>5</v>
      </c>
      <c r="B9" t="s">
        <v>34</v>
      </c>
      <c r="C9">
        <v>3</v>
      </c>
      <c r="D9" t="s">
        <v>35</v>
      </c>
      <c r="E9">
        <v>-328.44884000000002</v>
      </c>
      <c r="F9">
        <f>C9+0.5</f>
        <v>3.5</v>
      </c>
      <c r="J9" s="4" t="s">
        <v>34</v>
      </c>
      <c r="K9" s="8">
        <v>3</v>
      </c>
      <c r="L9" s="16">
        <v>-235.40709000000001</v>
      </c>
      <c r="M9" s="5">
        <v>10.55416346875</v>
      </c>
      <c r="N9" s="4">
        <v>0.55031346874999976</v>
      </c>
      <c r="O9">
        <v>-328.44884000000002</v>
      </c>
      <c r="P9">
        <f>O9-$U$3-$L$2+M9</f>
        <v>-1.8414305312499888</v>
      </c>
      <c r="Q9">
        <v>-338.21314000000001</v>
      </c>
      <c r="R9">
        <f>Q9-$U$2-$L$2+M9</f>
        <v>-0.45244653124999523</v>
      </c>
    </row>
    <row r="10" spans="1:22" x14ac:dyDescent="0.3">
      <c r="A10" t="s">
        <v>5</v>
      </c>
      <c r="B10" t="s">
        <v>38</v>
      </c>
      <c r="C10">
        <v>3</v>
      </c>
      <c r="D10" t="s">
        <v>39</v>
      </c>
      <c r="E10">
        <v>-375.19281000000001</v>
      </c>
      <c r="F10">
        <f>C10+0.5</f>
        <v>3.5</v>
      </c>
      <c r="J10" s="10" t="s">
        <v>38</v>
      </c>
      <c r="K10" s="11">
        <v>3</v>
      </c>
      <c r="L10" s="15">
        <v>-282.11736000000002</v>
      </c>
      <c r="M10" s="10">
        <v>55.840811218749998</v>
      </c>
      <c r="N10" s="12">
        <v>-0.87330878125001021</v>
      </c>
      <c r="O10">
        <v>-375.19281000000001</v>
      </c>
      <c r="P10">
        <f>O10-$U$3-$L$2+M10</f>
        <v>-3.2987527812499806</v>
      </c>
      <c r="Q10">
        <v>-384.57198</v>
      </c>
      <c r="R10">
        <f>Q10-$U$2-$L$2+M10</f>
        <v>-1.5246387812499833</v>
      </c>
    </row>
    <row r="11" spans="1:22" x14ac:dyDescent="0.3">
      <c r="A11" t="s">
        <v>5</v>
      </c>
      <c r="B11" t="s">
        <v>42</v>
      </c>
      <c r="C11">
        <v>3</v>
      </c>
      <c r="D11" t="s">
        <v>43</v>
      </c>
      <c r="E11">
        <v>-364.85532999999998</v>
      </c>
      <c r="F11">
        <f>C11+0.5</f>
        <v>3.5</v>
      </c>
      <c r="J11" s="5" t="s">
        <v>42</v>
      </c>
      <c r="K11" s="8">
        <v>3</v>
      </c>
      <c r="L11" s="15">
        <v>-270.93031999999999</v>
      </c>
      <c r="M11" s="5">
        <v>45.930186749999997</v>
      </c>
      <c r="N11" s="4">
        <v>0.40310675000001339</v>
      </c>
      <c r="O11">
        <v>-364.85532999999998</v>
      </c>
      <c r="P11">
        <f>O11-$U$3-$L$2+M11</f>
        <v>-2.8718972499999538</v>
      </c>
      <c r="Q11">
        <v>-373.36135000000002</v>
      </c>
      <c r="R11">
        <f>Q11-$U$2-$L$2+M11</f>
        <v>-0.22463325000000367</v>
      </c>
    </row>
    <row r="12" spans="1:22" x14ac:dyDescent="0.3">
      <c r="A12" t="s">
        <v>5</v>
      </c>
      <c r="B12" t="s">
        <v>46</v>
      </c>
      <c r="C12">
        <v>4</v>
      </c>
      <c r="D12" t="s">
        <v>47</v>
      </c>
      <c r="E12">
        <v>-322.45263</v>
      </c>
      <c r="F12">
        <f>C12+0.5</f>
        <v>4.5</v>
      </c>
      <c r="J12" s="5" t="s">
        <v>46</v>
      </c>
      <c r="K12" s="8">
        <v>4</v>
      </c>
      <c r="L12" s="15">
        <v>-229.58937</v>
      </c>
      <c r="M12" s="5">
        <v>5.5837516874999995</v>
      </c>
      <c r="N12" s="4">
        <v>1.397621687500008</v>
      </c>
      <c r="O12">
        <v>-322.45263</v>
      </c>
      <c r="P12">
        <f>O12-$U$3-$L$2+M12</f>
        <v>-0.81563231249996981</v>
      </c>
      <c r="Q12">
        <v>-332.60637000000003</v>
      </c>
      <c r="R12">
        <f>Q12-$U$2-$L$2+M12</f>
        <v>0.18391168749998776</v>
      </c>
    </row>
    <row r="13" spans="1:22" x14ac:dyDescent="0.3">
      <c r="A13" t="s">
        <v>5</v>
      </c>
      <c r="B13" t="s">
        <v>50</v>
      </c>
      <c r="C13">
        <v>4</v>
      </c>
      <c r="D13" t="s">
        <v>51</v>
      </c>
      <c r="E13">
        <v>-370.41329000000002</v>
      </c>
      <c r="F13">
        <f>C13+0.5</f>
        <v>4.5</v>
      </c>
      <c r="J13" s="10" t="s">
        <v>50</v>
      </c>
      <c r="K13" s="11">
        <v>4</v>
      </c>
      <c r="L13" s="15">
        <v>-277.82722999999999</v>
      </c>
      <c r="M13" s="10">
        <v>50.870399437499998</v>
      </c>
      <c r="N13" s="12">
        <v>-1.5535905624999771</v>
      </c>
      <c r="O13">
        <v>-370.41329000000002</v>
      </c>
      <c r="P13">
        <f>O13-$U$3-$L$2+M13</f>
        <v>-3.4896445624999899</v>
      </c>
      <c r="Q13">
        <v>-380.62536999999998</v>
      </c>
      <c r="R13">
        <f>Q13-$U$2-$L$2+M13</f>
        <v>-2.5484405624999624</v>
      </c>
    </row>
    <row r="14" spans="1:22" x14ac:dyDescent="0.3">
      <c r="A14" t="s">
        <v>5</v>
      </c>
      <c r="B14" t="s">
        <v>54</v>
      </c>
      <c r="C14">
        <v>4</v>
      </c>
      <c r="D14" t="s">
        <v>55</v>
      </c>
      <c r="E14">
        <v>-359.51195000000001</v>
      </c>
      <c r="F14">
        <f>C14+0.5</f>
        <v>4.5</v>
      </c>
      <c r="J14" s="10" t="s">
        <v>54</v>
      </c>
      <c r="K14" s="11">
        <v>4</v>
      </c>
      <c r="L14" s="17">
        <v>-266.74382000000003</v>
      </c>
      <c r="M14" s="10">
        <v>40.959774968749997</v>
      </c>
      <c r="N14" s="12">
        <v>-0.38080503125001997</v>
      </c>
      <c r="O14">
        <v>-359.51195000000001</v>
      </c>
      <c r="P14">
        <f>O14-$U$3-$L$2+M14</f>
        <v>-2.4989290312499861</v>
      </c>
      <c r="Q14">
        <v>-369.04496</v>
      </c>
      <c r="R14">
        <f>Q14-$U$2-$L$2+M14</f>
        <v>-0.87865503124999123</v>
      </c>
    </row>
    <row r="15" spans="1:22" x14ac:dyDescent="0.3">
      <c r="A15" t="s">
        <v>5</v>
      </c>
      <c r="B15" t="s">
        <v>58</v>
      </c>
      <c r="C15">
        <v>4</v>
      </c>
      <c r="D15" t="s">
        <v>59</v>
      </c>
      <c r="E15">
        <v>-349.43319000000002</v>
      </c>
      <c r="F15">
        <f>C15+0.5</f>
        <v>4.5</v>
      </c>
      <c r="J15" s="5" t="s">
        <v>58</v>
      </c>
      <c r="K15" s="8">
        <v>4</v>
      </c>
      <c r="L15" s="15">
        <v>-255.50835000000001</v>
      </c>
      <c r="M15" s="5">
        <v>31.049150499999996</v>
      </c>
      <c r="N15" s="4">
        <v>0.94404049999999984</v>
      </c>
      <c r="O15">
        <v>-349.43319000000002</v>
      </c>
      <c r="P15">
        <f>O15-$U$3-$L$2+M15</f>
        <v>-2.3307934999999986</v>
      </c>
      <c r="Q15">
        <v>-358.42347000000001</v>
      </c>
      <c r="R15">
        <f>Q15-$U$2-$L$2+M15</f>
        <v>-0.16778949999999782</v>
      </c>
    </row>
    <row r="16" spans="1:22" x14ac:dyDescent="0.3">
      <c r="A16" t="s">
        <v>5</v>
      </c>
      <c r="B16" t="s">
        <v>62</v>
      </c>
      <c r="C16">
        <v>5</v>
      </c>
      <c r="D16" t="s">
        <v>63</v>
      </c>
      <c r="E16">
        <v>-353.99529000000001</v>
      </c>
      <c r="F16">
        <f>C16+0.5</f>
        <v>5.5</v>
      </c>
      <c r="J16" s="5" t="s">
        <v>62</v>
      </c>
      <c r="K16" s="8">
        <v>5</v>
      </c>
      <c r="L16" s="15">
        <v>-261.02336000000003</v>
      </c>
      <c r="M16" s="5">
        <v>35.989363187499997</v>
      </c>
      <c r="N16" s="4">
        <v>0.36924318749998264</v>
      </c>
      <c r="O16">
        <v>-353.99529000000001</v>
      </c>
      <c r="P16">
        <f>O16-$U$3-$L$2+M16</f>
        <v>-1.9526808124999846</v>
      </c>
      <c r="Q16">
        <v>-364.19117999999997</v>
      </c>
      <c r="R16">
        <f>Q16-$U$2-$L$2+M16</f>
        <v>-0.99528681249996254</v>
      </c>
    </row>
    <row r="17" spans="1:18" x14ac:dyDescent="0.3">
      <c r="A17" t="s">
        <v>5</v>
      </c>
      <c r="B17" t="s">
        <v>66</v>
      </c>
      <c r="C17">
        <v>5</v>
      </c>
      <c r="D17" t="s">
        <v>67</v>
      </c>
      <c r="E17">
        <v>-345.07465000000002</v>
      </c>
      <c r="F17">
        <f>C17+0.5</f>
        <v>5.5</v>
      </c>
      <c r="J17" s="5" t="s">
        <v>66</v>
      </c>
      <c r="K17" s="8">
        <v>5</v>
      </c>
      <c r="L17" s="15">
        <v>-251.62698</v>
      </c>
      <c r="M17" s="5">
        <v>26.078738718749996</v>
      </c>
      <c r="N17" s="4">
        <v>-0.14500128124999634</v>
      </c>
      <c r="O17">
        <v>-345.07465000000002</v>
      </c>
      <c r="P17">
        <f>O17-$U$3-$L$2+M17</f>
        <v>-2.9426652812499938</v>
      </c>
      <c r="Q17">
        <v>-353.97376000000003</v>
      </c>
      <c r="R17">
        <f>Q17-$U$2-$L$2+M17</f>
        <v>-0.68849128125001613</v>
      </c>
    </row>
    <row r="18" spans="1:18" x14ac:dyDescent="0.3">
      <c r="A18" t="s">
        <v>5</v>
      </c>
      <c r="B18" t="s">
        <v>70</v>
      </c>
      <c r="C18">
        <v>5</v>
      </c>
      <c r="D18" t="s">
        <v>71</v>
      </c>
      <c r="E18">
        <v>-391.32905</v>
      </c>
      <c r="F18">
        <f>C18+0.5</f>
        <v>5.5</v>
      </c>
      <c r="J18" s="5" t="s">
        <v>70</v>
      </c>
      <c r="K18" s="8">
        <v>5</v>
      </c>
      <c r="L18" s="15">
        <v>-297.75515999999999</v>
      </c>
      <c r="M18" s="10">
        <v>71.365386468749989</v>
      </c>
      <c r="N18" s="4">
        <v>-0.98653353124998944</v>
      </c>
      <c r="O18">
        <v>-391.32905</v>
      </c>
      <c r="P18">
        <f>O18-$U$3-$L$2+M18</f>
        <v>-3.9104175312499763</v>
      </c>
      <c r="Q18">
        <v>-400.03124000000003</v>
      </c>
      <c r="R18">
        <f>Q18-$U$2-$L$2+M18</f>
        <v>-1.4593235312500212</v>
      </c>
    </row>
    <row r="19" spans="1:18" x14ac:dyDescent="0.3">
      <c r="A19" t="s">
        <v>5</v>
      </c>
      <c r="B19" t="s">
        <v>74</v>
      </c>
      <c r="C19">
        <v>5</v>
      </c>
      <c r="D19" t="s">
        <v>75</v>
      </c>
      <c r="E19">
        <v>-380.49218999999999</v>
      </c>
      <c r="F19">
        <f>C19+0.5</f>
        <v>5.5</v>
      </c>
      <c r="J19" s="6" t="s">
        <v>74</v>
      </c>
      <c r="K19" s="13">
        <v>5</v>
      </c>
      <c r="L19" s="15">
        <v>-286.15672000000001</v>
      </c>
      <c r="M19" s="9">
        <v>61.454761999999995</v>
      </c>
      <c r="N19" s="6">
        <v>0.70128199999999907</v>
      </c>
      <c r="O19">
        <v>-380.49218999999999</v>
      </c>
      <c r="P19">
        <f>O19-$U$3-$L$2+M19</f>
        <v>-2.9841819999999686</v>
      </c>
      <c r="Q19">
        <v>-388.64616000000001</v>
      </c>
      <c r="R19">
        <f>Q19-$U$2-$L$2+M19</f>
        <v>1.5132000000001256E-2</v>
      </c>
    </row>
    <row r="20" spans="1:18" x14ac:dyDescent="0.3">
      <c r="A20" t="s">
        <v>5</v>
      </c>
      <c r="B20" t="s">
        <v>78</v>
      </c>
      <c r="C20">
        <v>6</v>
      </c>
      <c r="D20" t="s">
        <v>79</v>
      </c>
      <c r="E20">
        <v>-336.62114000000003</v>
      </c>
      <c r="F20">
        <f>C20+0.5</f>
        <v>6.5</v>
      </c>
      <c r="J20" s="4" t="s">
        <v>78</v>
      </c>
      <c r="K20" s="8">
        <v>6</v>
      </c>
      <c r="L20" s="15">
        <v>-243.72117</v>
      </c>
      <c r="M20" s="5">
        <v>21.108326937499996</v>
      </c>
      <c r="N20" s="4">
        <v>2.7903969375000059</v>
      </c>
      <c r="O20">
        <v>-336.62114000000003</v>
      </c>
      <c r="P20">
        <f>O20-$U$3-$L$2+M20</f>
        <v>0.54043293750000032</v>
      </c>
      <c r="Q20">
        <v>-346.80023</v>
      </c>
      <c r="R20">
        <f>Q20-$U$2-$L$2+M20</f>
        <v>1.5146269375000116</v>
      </c>
    </row>
    <row r="21" spans="1:18" x14ac:dyDescent="0.3">
      <c r="A21" t="s">
        <v>5</v>
      </c>
      <c r="B21" t="s">
        <v>82</v>
      </c>
      <c r="C21">
        <v>6</v>
      </c>
      <c r="D21" t="s">
        <v>83</v>
      </c>
      <c r="E21">
        <v>-386.66696000000002</v>
      </c>
      <c r="F21">
        <f>C21+0.5</f>
        <v>6.5</v>
      </c>
      <c r="J21" s="4" t="s">
        <v>82</v>
      </c>
      <c r="K21" s="8">
        <v>6</v>
      </c>
      <c r="L21" s="15">
        <v>-293.35365000000002</v>
      </c>
      <c r="M21" s="10">
        <v>66.394974687499996</v>
      </c>
      <c r="N21" s="4">
        <v>-1.5554353125000091</v>
      </c>
      <c r="O21">
        <v>-386.66696000000002</v>
      </c>
      <c r="P21">
        <f>O21-$U$3-$L$2+M21</f>
        <v>-4.2187393124999915</v>
      </c>
      <c r="Q21">
        <v>-396.17568</v>
      </c>
      <c r="R21">
        <f>Q21-$U$2-$L$2+M21</f>
        <v>-2.5741753124999889</v>
      </c>
    </row>
    <row r="22" spans="1:18" x14ac:dyDescent="0.3">
      <c r="A22" t="s">
        <v>5</v>
      </c>
      <c r="B22" t="s">
        <v>86</v>
      </c>
      <c r="C22">
        <v>6</v>
      </c>
      <c r="D22" t="s">
        <v>87</v>
      </c>
      <c r="E22">
        <v>-376.79437000000001</v>
      </c>
      <c r="F22">
        <f>C22+0.5</f>
        <v>6.5</v>
      </c>
      <c r="J22" s="6" t="s">
        <v>86</v>
      </c>
      <c r="K22" s="13">
        <v>6</v>
      </c>
      <c r="L22" s="15">
        <v>-282.63587000000001</v>
      </c>
      <c r="M22" s="9">
        <v>56.484350218749988</v>
      </c>
      <c r="N22" s="6">
        <v>-0.74827978125001238</v>
      </c>
      <c r="O22">
        <v>-376.79437000000001</v>
      </c>
      <c r="P22">
        <f>O22-$U$3-$L$2+M22</f>
        <v>-4.2567737812499971</v>
      </c>
      <c r="Q22">
        <v>-385.02523000000002</v>
      </c>
      <c r="R22">
        <f>Q22-$U$2-$L$2+M22</f>
        <v>-1.3343497812500189</v>
      </c>
    </row>
    <row r="23" spans="1:18" x14ac:dyDescent="0.3">
      <c r="A23" t="s">
        <v>5</v>
      </c>
      <c r="B23" t="s">
        <v>90</v>
      </c>
      <c r="C23">
        <v>7</v>
      </c>
      <c r="D23" t="s">
        <v>91</v>
      </c>
      <c r="E23">
        <v>-371.64639</v>
      </c>
      <c r="F23">
        <f>C23+0.5</f>
        <v>7.5</v>
      </c>
      <c r="J23" s="4" t="s">
        <v>90</v>
      </c>
      <c r="K23" s="8">
        <v>7</v>
      </c>
      <c r="L23" s="15">
        <v>-278.82891999999998</v>
      </c>
      <c r="M23" s="10">
        <v>51.513938437499995</v>
      </c>
      <c r="N23" s="4">
        <v>-1.9117415624999765</v>
      </c>
      <c r="O23">
        <v>-371.64639</v>
      </c>
      <c r="P23" s="18">
        <f>O23-$U$3-$L$2+M23</f>
        <v>-4.0792055624999719</v>
      </c>
      <c r="Q23">
        <v>-381.45965000000001</v>
      </c>
      <c r="R23">
        <f>Q23-$U$2-$L$2+M23</f>
        <v>-2.7391815625000007</v>
      </c>
    </row>
    <row r="24" spans="1:18" x14ac:dyDescent="0.3">
      <c r="A24" t="s">
        <v>94</v>
      </c>
      <c r="B24" t="s">
        <v>6</v>
      </c>
      <c r="C24">
        <v>0</v>
      </c>
      <c r="D24" t="s">
        <v>95</v>
      </c>
      <c r="E24">
        <v>-328.25722999999999</v>
      </c>
      <c r="F24">
        <f>C24+0.5</f>
        <v>0.5</v>
      </c>
    </row>
    <row r="25" spans="1:18" x14ac:dyDescent="0.3">
      <c r="A25" t="s">
        <v>94</v>
      </c>
      <c r="B25" t="s">
        <v>10</v>
      </c>
      <c r="C25">
        <v>1</v>
      </c>
      <c r="D25" t="s">
        <v>98</v>
      </c>
      <c r="E25">
        <v>-322.58533</v>
      </c>
      <c r="F25">
        <f>C25+0.5</f>
        <v>1.5</v>
      </c>
      <c r="I25" t="s">
        <v>174</v>
      </c>
    </row>
    <row r="26" spans="1:18" x14ac:dyDescent="0.3">
      <c r="A26" t="s">
        <v>94</v>
      </c>
      <c r="B26" t="s">
        <v>14</v>
      </c>
      <c r="C26">
        <v>1</v>
      </c>
      <c r="D26" t="s">
        <v>101</v>
      </c>
      <c r="E26">
        <v>-358.19283000000001</v>
      </c>
      <c r="F26">
        <f>C26+0.5</f>
        <v>1.5</v>
      </c>
    </row>
    <row r="27" spans="1:18" x14ac:dyDescent="0.3">
      <c r="A27" t="s">
        <v>94</v>
      </c>
      <c r="B27" t="s">
        <v>18</v>
      </c>
      <c r="C27">
        <v>2</v>
      </c>
      <c r="D27" t="s">
        <v>104</v>
      </c>
      <c r="E27">
        <v>-354.07686999999999</v>
      </c>
      <c r="F27">
        <f>C27+0.5</f>
        <v>2.5</v>
      </c>
    </row>
    <row r="28" spans="1:18" x14ac:dyDescent="0.3">
      <c r="A28" t="s">
        <v>94</v>
      </c>
      <c r="B28" t="s">
        <v>22</v>
      </c>
      <c r="C28">
        <v>2</v>
      </c>
      <c r="D28" t="s">
        <v>107</v>
      </c>
      <c r="E28">
        <v>-342.45206999999999</v>
      </c>
      <c r="F28">
        <f>C28+0.5</f>
        <v>2.5</v>
      </c>
    </row>
    <row r="29" spans="1:18" x14ac:dyDescent="0.3">
      <c r="A29" t="s">
        <v>94</v>
      </c>
      <c r="B29" t="s">
        <v>26</v>
      </c>
      <c r="C29">
        <v>2</v>
      </c>
      <c r="D29" t="s">
        <v>110</v>
      </c>
      <c r="E29">
        <v>-388.82974999999999</v>
      </c>
      <c r="F29">
        <f>C29+0.5</f>
        <v>2.5</v>
      </c>
    </row>
    <row r="30" spans="1:18" x14ac:dyDescent="0.3">
      <c r="A30" t="s">
        <v>94</v>
      </c>
      <c r="B30" t="s">
        <v>30</v>
      </c>
      <c r="C30">
        <v>3</v>
      </c>
      <c r="D30" t="s">
        <v>113</v>
      </c>
      <c r="E30">
        <v>-348.65289999999999</v>
      </c>
      <c r="F30">
        <f>C30+0.5</f>
        <v>3.5</v>
      </c>
    </row>
    <row r="31" spans="1:18" x14ac:dyDescent="0.3">
      <c r="A31" t="s">
        <v>94</v>
      </c>
      <c r="B31" t="s">
        <v>34</v>
      </c>
      <c r="C31">
        <v>3</v>
      </c>
      <c r="D31" t="s">
        <v>116</v>
      </c>
      <c r="E31">
        <v>-338.21314000000001</v>
      </c>
      <c r="F31">
        <f>C31+0.5</f>
        <v>3.5</v>
      </c>
    </row>
    <row r="32" spans="1:18" x14ac:dyDescent="0.3">
      <c r="A32" t="s">
        <v>94</v>
      </c>
      <c r="B32" t="s">
        <v>38</v>
      </c>
      <c r="C32">
        <v>3</v>
      </c>
      <c r="D32" t="s">
        <v>119</v>
      </c>
      <c r="E32">
        <v>-384.57198</v>
      </c>
      <c r="F32">
        <f>C32+0.5</f>
        <v>3.5</v>
      </c>
    </row>
    <row r="33" spans="1:6" x14ac:dyDescent="0.3">
      <c r="A33" t="s">
        <v>94</v>
      </c>
      <c r="B33" t="s">
        <v>42</v>
      </c>
      <c r="C33">
        <v>3</v>
      </c>
      <c r="D33" t="s">
        <v>122</v>
      </c>
      <c r="E33">
        <v>-373.36135000000002</v>
      </c>
      <c r="F33">
        <f>C33+0.5</f>
        <v>3.5</v>
      </c>
    </row>
    <row r="34" spans="1:6" x14ac:dyDescent="0.3">
      <c r="A34" t="s">
        <v>94</v>
      </c>
      <c r="B34" t="s">
        <v>46</v>
      </c>
      <c r="C34">
        <v>4</v>
      </c>
      <c r="D34" t="s">
        <v>125</v>
      </c>
      <c r="E34">
        <v>-332.60637000000003</v>
      </c>
      <c r="F34">
        <f>C34+0.5</f>
        <v>4.5</v>
      </c>
    </row>
    <row r="35" spans="1:6" x14ac:dyDescent="0.3">
      <c r="A35" t="s">
        <v>94</v>
      </c>
      <c r="B35" t="s">
        <v>50</v>
      </c>
      <c r="C35">
        <v>4</v>
      </c>
      <c r="D35" t="s">
        <v>128</v>
      </c>
      <c r="E35">
        <v>-380.62536999999998</v>
      </c>
      <c r="F35">
        <f>C35+0.5</f>
        <v>4.5</v>
      </c>
    </row>
    <row r="36" spans="1:6" x14ac:dyDescent="0.3">
      <c r="A36" t="s">
        <v>94</v>
      </c>
      <c r="B36" t="s">
        <v>54</v>
      </c>
      <c r="C36">
        <v>4</v>
      </c>
      <c r="D36" t="s">
        <v>131</v>
      </c>
      <c r="E36">
        <v>-369.04496</v>
      </c>
      <c r="F36">
        <f>C36+0.5</f>
        <v>4.5</v>
      </c>
    </row>
    <row r="37" spans="1:6" x14ac:dyDescent="0.3">
      <c r="A37" t="s">
        <v>94</v>
      </c>
      <c r="B37" t="s">
        <v>58</v>
      </c>
      <c r="C37">
        <v>4</v>
      </c>
      <c r="D37" t="s">
        <v>134</v>
      </c>
      <c r="E37">
        <v>-358.42347000000001</v>
      </c>
      <c r="F37">
        <f>C37+0.5</f>
        <v>4.5</v>
      </c>
    </row>
    <row r="38" spans="1:6" x14ac:dyDescent="0.3">
      <c r="A38" t="s">
        <v>94</v>
      </c>
      <c r="B38" t="s">
        <v>62</v>
      </c>
      <c r="C38">
        <v>5</v>
      </c>
      <c r="D38" t="s">
        <v>137</v>
      </c>
      <c r="E38">
        <v>-364.19117999999997</v>
      </c>
      <c r="F38">
        <f>C38+0.5</f>
        <v>5.5</v>
      </c>
    </row>
    <row r="39" spans="1:6" x14ac:dyDescent="0.3">
      <c r="A39" t="s">
        <v>94</v>
      </c>
      <c r="B39" t="s">
        <v>66</v>
      </c>
      <c r="C39">
        <v>5</v>
      </c>
      <c r="D39" t="s">
        <v>140</v>
      </c>
      <c r="E39">
        <v>-353.97376000000003</v>
      </c>
      <c r="F39">
        <f>C39+0.5</f>
        <v>5.5</v>
      </c>
    </row>
    <row r="40" spans="1:6" x14ac:dyDescent="0.3">
      <c r="A40" t="s">
        <v>94</v>
      </c>
      <c r="B40" t="s">
        <v>70</v>
      </c>
      <c r="C40">
        <v>5</v>
      </c>
      <c r="D40" t="s">
        <v>143</v>
      </c>
      <c r="E40">
        <v>-400.03124000000003</v>
      </c>
      <c r="F40">
        <f>C40+0.5</f>
        <v>5.5</v>
      </c>
    </row>
    <row r="41" spans="1:6" x14ac:dyDescent="0.3">
      <c r="A41" t="s">
        <v>94</v>
      </c>
      <c r="B41" t="s">
        <v>74</v>
      </c>
      <c r="C41">
        <v>5</v>
      </c>
      <c r="D41" t="s">
        <v>146</v>
      </c>
      <c r="E41">
        <v>-388.64616000000001</v>
      </c>
      <c r="F41">
        <f>C41+0.5</f>
        <v>5.5</v>
      </c>
    </row>
    <row r="42" spans="1:6" x14ac:dyDescent="0.3">
      <c r="A42" t="s">
        <v>94</v>
      </c>
      <c r="B42" t="s">
        <v>78</v>
      </c>
      <c r="C42">
        <v>6</v>
      </c>
      <c r="D42" t="s">
        <v>149</v>
      </c>
      <c r="E42">
        <v>-346.80023</v>
      </c>
      <c r="F42">
        <f>C42+0.5</f>
        <v>6.5</v>
      </c>
    </row>
    <row r="43" spans="1:6" x14ac:dyDescent="0.3">
      <c r="A43" t="s">
        <v>94</v>
      </c>
      <c r="B43" t="s">
        <v>82</v>
      </c>
      <c r="C43">
        <v>6</v>
      </c>
      <c r="D43" t="s">
        <v>152</v>
      </c>
      <c r="E43">
        <v>-396.17568</v>
      </c>
      <c r="F43">
        <f>C43+0.5</f>
        <v>6.5</v>
      </c>
    </row>
    <row r="44" spans="1:6" x14ac:dyDescent="0.3">
      <c r="A44" t="s">
        <v>94</v>
      </c>
      <c r="B44" t="s">
        <v>86</v>
      </c>
      <c r="C44">
        <v>6</v>
      </c>
      <c r="D44" t="s">
        <v>155</v>
      </c>
      <c r="E44">
        <v>-385.02523000000002</v>
      </c>
      <c r="F44">
        <f>C44+0.5</f>
        <v>6.5</v>
      </c>
    </row>
    <row r="45" spans="1:6" x14ac:dyDescent="0.3">
      <c r="A45" t="s">
        <v>94</v>
      </c>
      <c r="B45" t="s">
        <v>90</v>
      </c>
      <c r="C45">
        <v>7</v>
      </c>
      <c r="D45" t="s">
        <v>158</v>
      </c>
      <c r="E45">
        <v>-381.45965000000001</v>
      </c>
      <c r="F45">
        <f>C45+0.5</f>
        <v>7.5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all_results</vt:lpstr>
      <vt:lpstr>lowest_energy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Sowon Kim</cp:lastModifiedBy>
  <dcterms:created xsi:type="dcterms:W3CDTF">2026-08-18T08:17:21Z</dcterms:created>
  <dcterms:modified xsi:type="dcterms:W3CDTF">2026-08-18T15:15:44Z</dcterms:modified>
</cp:coreProperties>
</file>